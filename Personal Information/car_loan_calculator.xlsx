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n Calculator" sheetId="1" state="visible" r:id="rId3"/>
    <sheet name="Amortization" sheetId="2" state="visible" r:id="rId4"/>
    <sheet name="Bas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<sst xmlns="http://schemas.openxmlformats.org/spreadsheetml/2006/main" count="65" uniqueCount="55">
  <si>
    <t xml:space="preserve">CAR LOAN INPUTS</t>
  </si>
  <si>
    <t xml:space="preserve">RESULTS SUMMARY</t>
  </si>
  <si>
    <t xml:space="preserve">Current Loan Balance</t>
  </si>
  <si>
    <t xml:space="preserve">Starting Balance After Lump Sum #1</t>
  </si>
  <si>
    <t xml:space="preserve">Annual Interest Rate</t>
  </si>
  <si>
    <t xml:space="preserve">Total Periods to Payoff</t>
  </si>
  <si>
    <t xml:space="preserve">Biweekly Payment</t>
  </si>
  <si>
    <t xml:space="preserve">Years to Payoff</t>
  </si>
  <si>
    <t xml:space="preserve">Payments Per Year</t>
  </si>
  <si>
    <t xml:space="preserve">Total Interest Paid</t>
  </si>
  <si>
    <t xml:space="preserve">Start Date (for reference)</t>
  </si>
  <si>
    <t xml:space="preserve">Apr 2026</t>
  </si>
  <si>
    <t xml:space="preserve">Total Payments Made</t>
  </si>
  <si>
    <t xml:space="preserve">Rate Per Period</t>
  </si>
  <si>
    <t xml:space="preserve">Total Lump Sums Applied</t>
  </si>
  <si>
    <t xml:space="preserve">LUMP SUM PAYMENTS</t>
  </si>
  <si>
    <t xml:space="preserve">BASELINE COMPARISON</t>
  </si>
  <si>
    <t xml:space="preserve">Lump Sum #1 (apply at start)</t>
  </si>
  <si>
    <t xml:space="preserve">Baseline Periods (no changes)</t>
  </si>
  <si>
    <t xml:space="preserve">Lump Sum #2 Amount</t>
  </si>
  <si>
    <t xml:space="preserve">Baseline Total Interest</t>
  </si>
  <si>
    <t xml:space="preserve">Lump Sum #2 - Apply at Period #</t>
  </si>
  <si>
    <t xml:space="preserve">Periods Saved</t>
  </si>
  <si>
    <t xml:space="preserve">Lump Sum #3 Amount</t>
  </si>
  <si>
    <t xml:space="preserve">Interest Saved</t>
  </si>
  <si>
    <t xml:space="preserve">Lump Sum #3 - Apply at Period #</t>
  </si>
  <si>
    <t xml:space="preserve">Years Saved</t>
  </si>
  <si>
    <t xml:space="preserve">PAYMENT INCREASES</t>
  </si>
  <si>
    <t xml:space="preserve">Extra Payment #1 Amount (biweekly)</t>
  </si>
  <si>
    <t xml:space="preserve">Extra Payment #1 - Starts at Period #</t>
  </si>
  <si>
    <t xml:space="preserve">Extra Payment #2 Amount (biweekly)</t>
  </si>
  <si>
    <t xml:space="preserve">Extra Payment #2 - Starts at Period #</t>
  </si>
  <si>
    <t xml:space="preserve">Extra Payment #3 Amount (biweekly)</t>
  </si>
  <si>
    <t xml:space="preserve">Extra Payment #3 - Starts at Period #</t>
  </si>
  <si>
    <t xml:space="preserve">HOW TO USE</t>
  </si>
  <si>
    <t xml:space="preserve">Change any BLUE value above to model different scenarios.</t>
  </si>
  <si>
    <t xml:space="preserve">Lump Sum #1 is applied immediately. #2 and #3 apply at the period you specify.</t>
  </si>
  <si>
    <t xml:space="preserve">Extra Payments add to your biweekly payment starting at the period you specify.</t>
  </si>
  <si>
    <t xml:space="preserve">Example: Wife's car paid off at period 13 → enter 197.44 as Extra Payment #1 starting at period 13.</t>
  </si>
  <si>
    <t xml:space="preserve">The Amortization tab shows the full period-by-period breakdown.</t>
  </si>
  <si>
    <t xml:space="preserve">The Baseline tab shows what happens with no changes for comparison.</t>
  </si>
  <si>
    <t xml:space="preserve">Period</t>
  </si>
  <si>
    <t xml:space="preserve">Opening Balance</t>
  </si>
  <si>
    <t xml:space="preserve">Lump Sum Applied</t>
  </si>
  <si>
    <t xml:space="preserve">Payment</t>
  </si>
  <si>
    <t xml:space="preserve">Extra Payment</t>
  </si>
  <si>
    <t xml:space="preserve">Total Payment</t>
  </si>
  <si>
    <t xml:space="preserve">Interest</t>
  </si>
  <si>
    <t xml:space="preserve">Principal</t>
  </si>
  <si>
    <t xml:space="preserve">Closing Balance</t>
  </si>
  <si>
    <t xml:space="preserve">Cumulative Interest</t>
  </si>
  <si>
    <t xml:space="preserve">Summary</t>
  </si>
  <si>
    <t xml:space="preserve">Total Periods:</t>
  </si>
  <si>
    <t xml:space="preserve">Total Interest:</t>
  </si>
  <si>
    <t xml:space="preserve">Total Payments: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</si>
</sst>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0%"/>
    <numFmt numFmtId="167" formatCode="0"/>
    <numFmt numFmtId="168" formatCode="0.0"/>
    <numFmt numFmtId="169" formatCode="0.00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0061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35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/>
      <c r="D1" s="1" t="s">
        <v>1</v>
      </c>
      <c r="E1" s="1"/>
    </row>
    <row r="2" customFormat="false" ht="15" hidden="false" customHeight="false" outlineLevel="0" collapsed="false">
      <c r="A2" s="2" t="s">
        <v>2</v>
      </c>
      <c r="B2" s="3" t="n">
        <v>36890</v>
      </c>
      <c r="D2" s="2" t="s">
        <v>3</v>
      </c>
      <c r="E2" s="4" t="n">
        <f aca="false">B2-B10</f>
        <v>27390</v>
      </c>
    </row>
    <row r="3" customFormat="false" ht="15" hidden="false" customHeight="false" outlineLevel="0" collapsed="false">
      <c r="A3" s="2" t="s">
        <v>4</v>
      </c>
      <c r="B3" s="5" t="n">
        <v>0.06</v>
      </c>
      <c r="D3" s="2" t="s">
        <v>5</v>
      </c>
      <c r="E3" s="6" t="n">
        <f aca="false">Amortization!M2</f>
        <v>57</v>
      </c>
    </row>
    <row r="4" customFormat="false" ht="15" hidden="false" customHeight="false" outlineLevel="0" collapsed="false">
      <c r="A4" s="2" t="s">
        <v>6</v>
      </c>
      <c r="B4" s="3" t="n">
        <v>365.72</v>
      </c>
      <c r="D4" s="2" t="s">
        <v>7</v>
      </c>
      <c r="E4" s="7" t="n">
        <f aca="false">E3/B5</f>
        <v>2.19230769230769</v>
      </c>
    </row>
    <row r="5" customFormat="false" ht="15" hidden="false" customHeight="false" outlineLevel="0" collapsed="false">
      <c r="A5" s="2" t="s">
        <v>8</v>
      </c>
      <c r="B5" s="8" t="n">
        <v>26</v>
      </c>
      <c r="D5" s="2" t="s">
        <v>9</v>
      </c>
      <c r="E5" s="4" t="n">
        <f aca="false">Amortization!M3</f>
        <v>1973.65586085751</v>
      </c>
    </row>
    <row r="6" customFormat="false" ht="15" hidden="false" customHeight="false" outlineLevel="0" collapsed="false">
      <c r="A6" s="2" t="s">
        <v>10</v>
      </c>
      <c r="B6" s="9" t="s">
        <v>11</v>
      </c>
      <c r="D6" s="2" t="s">
        <v>12</v>
      </c>
      <c r="E6" s="4" t="n">
        <f aca="false">Amortization!M4</f>
        <v>29363.6558608575</v>
      </c>
    </row>
    <row r="7" customFormat="false" ht="15" hidden="false" customHeight="false" outlineLevel="0" collapsed="false">
      <c r="A7" s="2" t="s">
        <v>13</v>
      </c>
      <c r="B7" s="10" t="n">
        <f aca="false">B3/B5</f>
        <v>0.00230769230769231</v>
      </c>
      <c r="D7" s="2" t="s">
        <v>14</v>
      </c>
      <c r="E7" s="4" t="n">
        <f aca="false">B10+B11+B13</f>
        <v>9500</v>
      </c>
    </row>
    <row r="9" customFormat="false" ht="15" hidden="false" customHeight="false" outlineLevel="0" collapsed="false">
      <c r="A9" s="1" t="s">
        <v>15</v>
      </c>
      <c r="B9" s="1"/>
      <c r="D9" s="1" t="s">
        <v>16</v>
      </c>
      <c r="E9" s="1"/>
    </row>
    <row r="10" customFormat="false" ht="15" hidden="false" customHeight="false" outlineLevel="0" collapsed="false">
      <c r="A10" s="2" t="s">
        <v>17</v>
      </c>
      <c r="B10" s="3" t="n">
        <v>9500</v>
      </c>
      <c r="D10" s="2" t="s">
        <v>18</v>
      </c>
      <c r="E10" s="6" t="n">
        <f aca="false">Baseline!J2</f>
        <v>115</v>
      </c>
    </row>
    <row r="11" customFormat="false" ht="15" hidden="false" customHeight="false" outlineLevel="0" collapsed="false">
      <c r="A11" s="2" t="s">
        <v>19</v>
      </c>
      <c r="B11" s="3" t="n">
        <v>0</v>
      </c>
      <c r="D11" s="2" t="s">
        <v>20</v>
      </c>
      <c r="E11" s="4" t="n">
        <f aca="false">Baseline!J3</f>
        <v>5151.53180720265</v>
      </c>
    </row>
    <row r="12" customFormat="false" ht="16.15" hidden="false" customHeight="false" outlineLevel="0" collapsed="false">
      <c r="A12" s="2" t="s">
        <v>21</v>
      </c>
      <c r="B12" s="8" t="n">
        <v>0</v>
      </c>
      <c r="D12" s="2" t="s">
        <v>22</v>
      </c>
      <c r="E12" s="11" t="n">
        <f aca="false">E10-E3</f>
        <v>58</v>
      </c>
    </row>
    <row r="13" customFormat="false" ht="16.15" hidden="false" customHeight="false" outlineLevel="0" collapsed="false">
      <c r="A13" s="2" t="s">
        <v>23</v>
      </c>
      <c r="B13" s="3" t="n">
        <v>0</v>
      </c>
      <c r="D13" s="2" t="s">
        <v>24</v>
      </c>
      <c r="E13" s="12" t="n">
        <f aca="false">E11-E5</f>
        <v>3177.87594634514</v>
      </c>
    </row>
    <row r="14" customFormat="false" ht="16.15" hidden="false" customHeight="false" outlineLevel="0" collapsed="false">
      <c r="A14" s="2" t="s">
        <v>25</v>
      </c>
      <c r="B14" s="8" t="n">
        <v>0</v>
      </c>
      <c r="D14" s="2" t="s">
        <v>26</v>
      </c>
      <c r="E14" s="13" t="n">
        <f aca="false">E12/B5</f>
        <v>2.23076923076923</v>
      </c>
    </row>
    <row r="16" customFormat="false" ht="15" hidden="false" customHeight="false" outlineLevel="0" collapsed="false">
      <c r="A16" s="1" t="s">
        <v>27</v>
      </c>
      <c r="B16" s="1"/>
    </row>
    <row r="17" customFormat="false" ht="15" hidden="false" customHeight="false" outlineLevel="0" collapsed="false">
      <c r="A17" s="2" t="s">
        <v>28</v>
      </c>
      <c r="B17" s="3" t="n">
        <v>197.44</v>
      </c>
    </row>
    <row r="18" customFormat="false" ht="15" hidden="false" customHeight="false" outlineLevel="0" collapsed="false">
      <c r="A18" s="2" t="s">
        <v>29</v>
      </c>
      <c r="B18" s="8" t="n">
        <v>13</v>
      </c>
    </row>
    <row r="19" customFormat="false" ht="15" hidden="false" customHeight="false" outlineLevel="0" collapsed="false">
      <c r="A19" s="2" t="s">
        <v>30</v>
      </c>
      <c r="B19" s="3" t="n">
        <v>0</v>
      </c>
    </row>
    <row r="20" customFormat="false" ht="15" hidden="false" customHeight="false" outlineLevel="0" collapsed="false">
      <c r="A20" s="2" t="s">
        <v>31</v>
      </c>
      <c r="B20" s="8" t="n">
        <v>0</v>
      </c>
    </row>
    <row r="21" customFormat="false" ht="15" hidden="false" customHeight="false" outlineLevel="0" collapsed="false">
      <c r="A21" s="2" t="s">
        <v>32</v>
      </c>
      <c r="B21" s="3" t="n">
        <v>0</v>
      </c>
    </row>
    <row r="22" customFormat="false" ht="15" hidden="false" customHeight="false" outlineLevel="0" collapsed="false">
      <c r="A22" s="2" t="s">
        <v>33</v>
      </c>
      <c r="B22" s="8" t="n">
        <v>0</v>
      </c>
    </row>
    <row r="24" customFormat="false" ht="15" hidden="false" customHeight="false" outlineLevel="0" collapsed="false">
      <c r="A24" s="14" t="s">
        <v>34</v>
      </c>
      <c r="B24" s="14"/>
      <c r="C24" s="14"/>
      <c r="D24" s="14"/>
      <c r="E24" s="14"/>
    </row>
    <row r="25" customFormat="false" ht="15" hidden="false" customHeight="false" outlineLevel="0" collapsed="false">
      <c r="A25" s="15" t="s">
        <v>35</v>
      </c>
      <c r="B25" s="15"/>
      <c r="C25" s="15"/>
      <c r="D25" s="15"/>
      <c r="E25" s="15"/>
    </row>
    <row r="26" customFormat="false" ht="15" hidden="false" customHeight="false" outlineLevel="0" collapsed="false">
      <c r="A26" s="15" t="s">
        <v>36</v>
      </c>
      <c r="B26" s="15"/>
      <c r="C26" s="15"/>
      <c r="D26" s="15"/>
      <c r="E26" s="15"/>
    </row>
    <row r="27" customFormat="false" ht="15" hidden="false" customHeight="false" outlineLevel="0" collapsed="false">
      <c r="A27" s="15" t="s">
        <v>37</v>
      </c>
      <c r="B27" s="15"/>
      <c r="C27" s="15"/>
      <c r="D27" s="15"/>
      <c r="E27" s="15"/>
    </row>
    <row r="28" customFormat="false" ht="15" hidden="false" customHeight="false" outlineLevel="0" collapsed="false">
      <c r="A28" s="15" t="s">
        <v>38</v>
      </c>
      <c r="B28" s="15"/>
      <c r="C28" s="15"/>
      <c r="D28" s="15"/>
      <c r="E28" s="15"/>
    </row>
    <row r="29" customFormat="false" ht="15" hidden="false" customHeight="false" outlineLevel="0" collapsed="false">
      <c r="A29" s="15" t="s">
        <v>39</v>
      </c>
      <c r="B29" s="15"/>
      <c r="C29" s="15"/>
      <c r="D29" s="15"/>
      <c r="E29" s="15"/>
    </row>
    <row r="30" customFormat="false" ht="15" hidden="false" customHeight="false" outlineLevel="0" collapsed="false">
      <c r="A30" s="15" t="s">
        <v>40</v>
      </c>
      <c r="B30" s="15"/>
      <c r="C30" s="15"/>
      <c r="D30" s="15"/>
      <c r="E30" s="15"/>
    </row>
  </sheetData>
  <mergeCells count="12">
    <mergeCell ref="A1:B1"/>
    <mergeCell ref="D1:E1"/>
    <mergeCell ref="A9:B9"/>
    <mergeCell ref="D9:E9"/>
    <mergeCell ref="A16:B16"/>
    <mergeCell ref="A24:E24"/>
    <mergeCell ref="A25:E25"/>
    <mergeCell ref="A26:E26"/>
    <mergeCell ref="A27:E27"/>
    <mergeCell ref="A28:E28"/>
    <mergeCell ref="A29:E29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10" min="2" style="0" width="16"/>
  </cols>
  <sheetData>
    <row r="1" customFormat="false" ht="26.85" hidden="false" customHeight="false" outlineLevel="0" collapsed="false">
      <c r="A1" s="16" t="s">
        <v>41</v>
      </c>
      <c r="B1" s="16" t="s">
        <v>42</v>
      </c>
      <c r="C1" s="16" t="s">
        <v>43</v>
      </c>
      <c r="D1" s="16" t="s">
        <v>44</v>
      </c>
      <c r="E1" s="16" t="s">
        <v>45</v>
      </c>
      <c r="F1" s="16" t="s">
        <v>46</v>
      </c>
      <c r="G1" s="16" t="s">
        <v>47</v>
      </c>
      <c r="H1" s="16" t="s">
        <v>48</v>
      </c>
      <c r="I1" s="16" t="s">
        <v>49</v>
      </c>
      <c r="J1" s="16" t="s">
        <v>50</v>
      </c>
      <c r="L1" s="17" t="s">
        <v>51</v>
      </c>
    </row>
    <row r="2" customFormat="false" ht="15" hidden="false" customHeight="false" outlineLevel="0" collapsed="false">
      <c r="A2" s="18" t="n">
        <v>1</v>
      </c>
      <c r="B2" s="19" t="n">
        <f aca="false">'Loan Calculator'!B2-'Loan Calculator'!B10</f>
        <v>27390</v>
      </c>
      <c r="C2" s="19" t="n">
        <f aca="false">IF(B2&lt;=0,0,IF(A2='Loan Calculator'!B12,MIN('Loan Calculator'!B11,B2),0)+IF(A2='Loan Calculator'!B14,MIN('Loan Calculator'!B13,B2),0))</f>
        <v>0</v>
      </c>
      <c r="D2" s="19" t="n">
        <f aca="false">IF(B2&lt;=0,0,'Loan Calculator'!B4)</f>
        <v>365.72</v>
      </c>
      <c r="E2" s="19" t="n">
        <f aca="false">IF(B2&lt;=0,0,IF(A2&gt;='Loan Calculator'!B18,'Loan Calculator'!B17,0)+IF(A2&gt;='Loan Calculator'!B20,'Loan Calculator'!B19,0)+IF(A2&gt;='Loan Calculator'!B22,'Loan Calculator'!B21,0))</f>
        <v>0</v>
      </c>
      <c r="F2" s="19" t="n">
        <f aca="false">IF(B2&lt;=0,0,MIN(D2+E2,(B2-C2)*(1+'Loan Calculator'!B7)))</f>
        <v>365.72</v>
      </c>
      <c r="G2" s="19" t="n">
        <f aca="false">IF(B2&lt;=0,0,MAX(0,(B2-C2)*'Loan Calculator'!B7))</f>
        <v>63.2076923076923</v>
      </c>
      <c r="H2" s="19" t="n">
        <f aca="false">IF(B2&lt;=0,0,F2-G2)</f>
        <v>302.512307692308</v>
      </c>
      <c r="I2" s="19" t="n">
        <f aca="false">IF(B2&lt;=0,0,MAX(0,B2-C2-H2))</f>
        <v>27087.4876923077</v>
      </c>
      <c r="J2" s="19" t="n">
        <f aca="false">G2</f>
        <v>63.2076923076923</v>
      </c>
      <c r="L2" s="0" t="s">
        <v>52</v>
      </c>
      <c r="M2" s="20" t="n">
        <f aca="false">COUNTIF(B2:B201,"&gt;"&amp;0)</f>
        <v>57</v>
      </c>
    </row>
    <row r="3" customFormat="false" ht="15" hidden="false" customHeight="false" outlineLevel="0" collapsed="false">
      <c r="A3" s="21" t="n">
        <v>2</v>
      </c>
      <c r="B3" s="22" t="n">
        <f aca="false">MAX(0,I2)</f>
        <v>27087.4876923077</v>
      </c>
      <c r="C3" s="22" t="n">
        <f aca="false">IF(B3&lt;=0,0,IF(A3='Loan Calculator'!B12,MIN('Loan Calculator'!B11,B3),0)+IF(A3='Loan Calculator'!B14,MIN('Loan Calculator'!B13,B3),0))</f>
        <v>0</v>
      </c>
      <c r="D3" s="22" t="n">
        <f aca="false">IF(B3&lt;=0,0,'Loan Calculator'!B4)</f>
        <v>365.72</v>
      </c>
      <c r="E3" s="22" t="n">
        <f aca="false">IF(B3&lt;=0,0,IF(A3&gt;='Loan Calculator'!B18,'Loan Calculator'!B17,0)+IF(A3&gt;='Loan Calculator'!B20,'Loan Calculator'!B19,0)+IF(A3&gt;='Loan Calculator'!B22,'Loan Calculator'!B21,0))</f>
        <v>0</v>
      </c>
      <c r="F3" s="22" t="n">
        <f aca="false">IF(B3&lt;=0,0,MIN(D3+E3,(B3-C3)*(1+'Loan Calculator'!B7)))</f>
        <v>365.72</v>
      </c>
      <c r="G3" s="22" t="n">
        <f aca="false">IF(B3&lt;=0,0,MAX(0,(B3-C3)*'Loan Calculator'!B7))</f>
        <v>62.5095869822485</v>
      </c>
      <c r="H3" s="22" t="n">
        <f aca="false">IF(B3&lt;=0,0,F3-G3)</f>
        <v>303.210413017752</v>
      </c>
      <c r="I3" s="22" t="n">
        <f aca="false">IF(B3&lt;=0,0,MAX(0,B3-C3-H3))</f>
        <v>26784.2772792899</v>
      </c>
      <c r="J3" s="22" t="n">
        <f aca="false">J2+G3</f>
        <v>125.717279289941</v>
      </c>
      <c r="L3" s="0" t="s">
        <v>53</v>
      </c>
      <c r="M3" s="23" t="n">
        <f aca="false">SUM(G2:G201)</f>
        <v>1973.65586085751</v>
      </c>
    </row>
    <row r="4" customFormat="false" ht="15" hidden="false" customHeight="false" outlineLevel="0" collapsed="false">
      <c r="A4" s="18" t="n">
        <v>3</v>
      </c>
      <c r="B4" s="19" t="n">
        <f aca="false">MAX(0,I3)</f>
        <v>26784.2772792899</v>
      </c>
      <c r="C4" s="19" t="n">
        <f aca="false">IF(B4&lt;=0,0,IF(A4='Loan Calculator'!B12,MIN('Loan Calculator'!B11,B4),0)+IF(A4='Loan Calculator'!B14,MIN('Loan Calculator'!B13,B4),0))</f>
        <v>0</v>
      </c>
      <c r="D4" s="19" t="n">
        <f aca="false">IF(B4&lt;=0,0,'Loan Calculator'!B4)</f>
        <v>365.72</v>
      </c>
      <c r="E4" s="19" t="n">
        <f aca="false">IF(B4&lt;=0,0,IF(A4&gt;='Loan Calculator'!B18,'Loan Calculator'!B17,0)+IF(A4&gt;='Loan Calculator'!B20,'Loan Calculator'!B19,0)+IF(A4&gt;='Loan Calculator'!B22,'Loan Calculator'!B21,0))</f>
        <v>0</v>
      </c>
      <c r="F4" s="19" t="n">
        <f aca="false">IF(B4&lt;=0,0,MIN(D4+E4,(B4-C4)*(1+'Loan Calculator'!B7)))</f>
        <v>365.72</v>
      </c>
      <c r="G4" s="19" t="n">
        <f aca="false">IF(B4&lt;=0,0,MAX(0,(B4-C4)*'Loan Calculator'!B7))</f>
        <v>61.8098706445152</v>
      </c>
      <c r="H4" s="19" t="n">
        <f aca="false">IF(B4&lt;=0,0,F4-G4)</f>
        <v>303.910129355485</v>
      </c>
      <c r="I4" s="19" t="n">
        <f aca="false">IF(B4&lt;=0,0,MAX(0,B4-C4-H4))</f>
        <v>26480.3671499345</v>
      </c>
      <c r="J4" s="19" t="n">
        <f aca="false">J3+G4</f>
        <v>187.527149934456</v>
      </c>
      <c r="L4" s="0" t="s">
        <v>54</v>
      </c>
      <c r="M4" s="23" t="n">
        <f aca="false">SUM(F2:F201)+SUM(C2:C201)</f>
        <v>29363.6558608575</v>
      </c>
    </row>
    <row r="5" customFormat="false" ht="15" hidden="false" customHeight="false" outlineLevel="0" collapsed="false">
      <c r="A5" s="21" t="n">
        <v>4</v>
      </c>
      <c r="B5" s="22" t="n">
        <f aca="false">MAX(0,I4)</f>
        <v>26480.3671499345</v>
      </c>
      <c r="C5" s="22" t="n">
        <f aca="false">IF(B5&lt;=0,0,IF(A5='Loan Calculator'!B12,MIN('Loan Calculator'!B11,B5),0)+IF(A5='Loan Calculator'!B14,MIN('Loan Calculator'!B13,B5),0))</f>
        <v>0</v>
      </c>
      <c r="D5" s="22" t="n">
        <f aca="false">IF(B5&lt;=0,0,'Loan Calculator'!B4)</f>
        <v>365.72</v>
      </c>
      <c r="E5" s="22" t="n">
        <f aca="false">IF(B5&lt;=0,0,IF(A5&gt;='Loan Calculator'!B18,'Loan Calculator'!B17,0)+IF(A5&gt;='Loan Calculator'!B20,'Loan Calculator'!B19,0)+IF(A5&gt;='Loan Calculator'!B22,'Loan Calculator'!B21,0))</f>
        <v>0</v>
      </c>
      <c r="F5" s="22" t="n">
        <f aca="false">IF(B5&lt;=0,0,MIN(D5+E5,(B5-C5)*(1+'Loan Calculator'!B7)))</f>
        <v>365.72</v>
      </c>
      <c r="G5" s="22" t="n">
        <f aca="false">IF(B5&lt;=0,0,MAX(0,(B5-C5)*'Loan Calculator'!B7))</f>
        <v>61.1085395767718</v>
      </c>
      <c r="H5" s="22" t="n">
        <f aca="false">IF(B5&lt;=0,0,F5-G5)</f>
        <v>304.611460423228</v>
      </c>
      <c r="I5" s="22" t="n">
        <f aca="false">IF(B5&lt;=0,0,MAX(0,B5-C5-H5))</f>
        <v>26175.7556895112</v>
      </c>
      <c r="J5" s="22" t="n">
        <f aca="false">J4+G5</f>
        <v>248.635689511228</v>
      </c>
    </row>
    <row r="6" customFormat="false" ht="15" hidden="false" customHeight="false" outlineLevel="0" collapsed="false">
      <c r="A6" s="18" t="n">
        <v>5</v>
      </c>
      <c r="B6" s="19" t="n">
        <f aca="false">MAX(0,I5)</f>
        <v>26175.7556895112</v>
      </c>
      <c r="C6" s="19" t="n">
        <f aca="false">IF(B6&lt;=0,0,IF(A6='Loan Calculator'!B12,MIN('Loan Calculator'!B11,B6),0)+IF(A6='Loan Calculator'!B14,MIN('Loan Calculator'!B13,B6),0))</f>
        <v>0</v>
      </c>
      <c r="D6" s="19" t="n">
        <f aca="false">IF(B6&lt;=0,0,'Loan Calculator'!B4)</f>
        <v>365.72</v>
      </c>
      <c r="E6" s="19" t="n">
        <f aca="false">IF(B6&lt;=0,0,IF(A6&gt;='Loan Calculator'!B18,'Loan Calculator'!B17,0)+IF(A6&gt;='Loan Calculator'!B20,'Loan Calculator'!B19,0)+IF(A6&gt;='Loan Calculator'!B22,'Loan Calculator'!B21,0))</f>
        <v>0</v>
      </c>
      <c r="F6" s="19" t="n">
        <f aca="false">IF(B6&lt;=0,0,MIN(D6+E6,(B6-C6)*(1+'Loan Calculator'!B7)))</f>
        <v>365.72</v>
      </c>
      <c r="G6" s="19" t="n">
        <f aca="false">IF(B6&lt;=0,0,MAX(0,(B6-C6)*'Loan Calculator'!B7))</f>
        <v>60.4055900527182</v>
      </c>
      <c r="H6" s="19" t="n">
        <f aca="false">IF(B6&lt;=0,0,F6-G6)</f>
        <v>305.314409947282</v>
      </c>
      <c r="I6" s="19" t="n">
        <f aca="false">IF(B6&lt;=0,0,MAX(0,B6-C6-H6))</f>
        <v>25870.4412795639</v>
      </c>
      <c r="J6" s="19" t="n">
        <f aca="false">J5+G6</f>
        <v>309.041279563946</v>
      </c>
    </row>
    <row r="7" customFormat="false" ht="15" hidden="false" customHeight="false" outlineLevel="0" collapsed="false">
      <c r="A7" s="21" t="n">
        <v>6</v>
      </c>
      <c r="B7" s="22" t="n">
        <f aca="false">MAX(0,I6)</f>
        <v>25870.4412795639</v>
      </c>
      <c r="C7" s="22" t="n">
        <f aca="false">IF(B7&lt;=0,0,IF(A7='Loan Calculator'!B12,MIN('Loan Calculator'!B11,B7),0)+IF(A7='Loan Calculator'!B14,MIN('Loan Calculator'!B13,B7),0))</f>
        <v>0</v>
      </c>
      <c r="D7" s="22" t="n">
        <f aca="false">IF(B7&lt;=0,0,'Loan Calculator'!B4)</f>
        <v>365.72</v>
      </c>
      <c r="E7" s="22" t="n">
        <f aca="false">IF(B7&lt;=0,0,IF(A7&gt;='Loan Calculator'!B18,'Loan Calculator'!B17,0)+IF(A7&gt;='Loan Calculator'!B20,'Loan Calculator'!B19,0)+IF(A7&gt;='Loan Calculator'!B22,'Loan Calculator'!B21,0))</f>
        <v>0</v>
      </c>
      <c r="F7" s="22" t="n">
        <f aca="false">IF(B7&lt;=0,0,MIN(D7+E7,(B7-C7)*(1+'Loan Calculator'!B7)))</f>
        <v>365.72</v>
      </c>
      <c r="G7" s="22" t="n">
        <f aca="false">IF(B7&lt;=0,0,MAX(0,(B7-C7)*'Loan Calculator'!B7))</f>
        <v>59.7010183374553</v>
      </c>
      <c r="H7" s="22" t="n">
        <f aca="false">IF(B7&lt;=0,0,F7-G7)</f>
        <v>306.018981662545</v>
      </c>
      <c r="I7" s="22" t="n">
        <f aca="false">IF(B7&lt;=0,0,MAX(0,B7-C7-H7))</f>
        <v>25564.4222979014</v>
      </c>
      <c r="J7" s="22" t="n">
        <f aca="false">J6+G7</f>
        <v>368.742297901401</v>
      </c>
    </row>
    <row r="8" customFormat="false" ht="15" hidden="false" customHeight="false" outlineLevel="0" collapsed="false">
      <c r="A8" s="18" t="n">
        <v>7</v>
      </c>
      <c r="B8" s="19" t="n">
        <f aca="false">MAX(0,I7)</f>
        <v>25564.4222979014</v>
      </c>
      <c r="C8" s="19" t="n">
        <f aca="false">IF(B8&lt;=0,0,IF(A8='Loan Calculator'!B12,MIN('Loan Calculator'!B11,B8),0)+IF(A8='Loan Calculator'!B14,MIN('Loan Calculator'!B13,B8),0))</f>
        <v>0</v>
      </c>
      <c r="D8" s="19" t="n">
        <f aca="false">IF(B8&lt;=0,0,'Loan Calculator'!B4)</f>
        <v>365.72</v>
      </c>
      <c r="E8" s="19" t="n">
        <f aca="false">IF(B8&lt;=0,0,IF(A8&gt;='Loan Calculator'!B18,'Loan Calculator'!B17,0)+IF(A8&gt;='Loan Calculator'!B20,'Loan Calculator'!B19,0)+IF(A8&gt;='Loan Calculator'!B22,'Loan Calculator'!B21,0))</f>
        <v>0</v>
      </c>
      <c r="F8" s="19" t="n">
        <f aca="false">IF(B8&lt;=0,0,MIN(D8+E8,(B8-C8)*(1+'Loan Calculator'!B7)))</f>
        <v>365.72</v>
      </c>
      <c r="G8" s="19" t="n">
        <f aca="false">IF(B8&lt;=0,0,MAX(0,(B8-C8)*'Loan Calculator'!B7))</f>
        <v>58.9948206874648</v>
      </c>
      <c r="H8" s="19" t="n">
        <f aca="false">IF(B8&lt;=0,0,F8-G8)</f>
        <v>306.725179312535</v>
      </c>
      <c r="I8" s="19" t="n">
        <f aca="false">IF(B8&lt;=0,0,MAX(0,B8-C8-H8))</f>
        <v>25257.6971185889</v>
      </c>
      <c r="J8" s="19" t="n">
        <f aca="false">J7+G8</f>
        <v>427.737118588866</v>
      </c>
    </row>
    <row r="9" customFormat="false" ht="15" hidden="false" customHeight="false" outlineLevel="0" collapsed="false">
      <c r="A9" s="21" t="n">
        <v>8</v>
      </c>
      <c r="B9" s="22" t="n">
        <f aca="false">MAX(0,I8)</f>
        <v>25257.6971185889</v>
      </c>
      <c r="C9" s="22" t="n">
        <f aca="false">IF(B9&lt;=0,0,IF(A9='Loan Calculator'!B12,MIN('Loan Calculator'!B11,B9),0)+IF(A9='Loan Calculator'!B14,MIN('Loan Calculator'!B13,B9),0))</f>
        <v>0</v>
      </c>
      <c r="D9" s="22" t="n">
        <f aca="false">IF(B9&lt;=0,0,'Loan Calculator'!B4)</f>
        <v>365.72</v>
      </c>
      <c r="E9" s="22" t="n">
        <f aca="false">IF(B9&lt;=0,0,IF(A9&gt;='Loan Calculator'!B18,'Loan Calculator'!B17,0)+IF(A9&gt;='Loan Calculator'!B20,'Loan Calculator'!B19,0)+IF(A9&gt;='Loan Calculator'!B22,'Loan Calculator'!B21,0))</f>
        <v>0</v>
      </c>
      <c r="F9" s="22" t="n">
        <f aca="false">IF(B9&lt;=0,0,MIN(D9+E9,(B9-C9)*(1+'Loan Calculator'!B7)))</f>
        <v>365.72</v>
      </c>
      <c r="G9" s="22" t="n">
        <f aca="false">IF(B9&lt;=0,0,MAX(0,(B9-C9)*'Loan Calculator'!B7))</f>
        <v>58.2869933505897</v>
      </c>
      <c r="H9" s="22" t="n">
        <f aca="false">IF(B9&lt;=0,0,F9-G9)</f>
        <v>307.43300664941</v>
      </c>
      <c r="I9" s="22" t="n">
        <f aca="false">IF(B9&lt;=0,0,MAX(0,B9-C9-H9))</f>
        <v>24950.2641119395</v>
      </c>
      <c r="J9" s="22" t="n">
        <f aca="false">J8+G9</f>
        <v>486.024111939456</v>
      </c>
    </row>
    <row r="10" customFormat="false" ht="15" hidden="false" customHeight="false" outlineLevel="0" collapsed="false">
      <c r="A10" s="18" t="n">
        <v>9</v>
      </c>
      <c r="B10" s="19" t="n">
        <f aca="false">MAX(0,I9)</f>
        <v>24950.2641119395</v>
      </c>
      <c r="C10" s="19" t="n">
        <f aca="false">IF(B10&lt;=0,0,IF(A10='Loan Calculator'!B12,MIN('Loan Calculator'!B11,B10),0)+IF(A10='Loan Calculator'!B14,MIN('Loan Calculator'!B13,B10),0))</f>
        <v>0</v>
      </c>
      <c r="D10" s="19" t="n">
        <f aca="false">IF(B10&lt;=0,0,'Loan Calculator'!B4)</f>
        <v>365.72</v>
      </c>
      <c r="E10" s="19" t="n">
        <f aca="false">IF(B10&lt;=0,0,IF(A10&gt;='Loan Calculator'!B18,'Loan Calculator'!B17,0)+IF(A10&gt;='Loan Calculator'!B20,'Loan Calculator'!B19,0)+IF(A10&gt;='Loan Calculator'!B22,'Loan Calculator'!B21,0))</f>
        <v>0</v>
      </c>
      <c r="F10" s="19" t="n">
        <f aca="false">IF(B10&lt;=0,0,MIN(D10+E10,(B10-C10)*(1+'Loan Calculator'!B7)))</f>
        <v>365.72</v>
      </c>
      <c r="G10" s="19" t="n">
        <f aca="false">IF(B10&lt;=0,0,MAX(0,(B10-C10)*'Loan Calculator'!B7))</f>
        <v>57.5775325660141</v>
      </c>
      <c r="H10" s="19" t="n">
        <f aca="false">IF(B10&lt;=0,0,F10-G10)</f>
        <v>308.142467433986</v>
      </c>
      <c r="I10" s="19" t="n">
        <f aca="false">IF(B10&lt;=0,0,MAX(0,B10-C10-H10))</f>
        <v>24642.1216445055</v>
      </c>
      <c r="J10" s="19" t="n">
        <f aca="false">J9+G10</f>
        <v>543.60164450547</v>
      </c>
    </row>
    <row r="11" customFormat="false" ht="15" hidden="false" customHeight="false" outlineLevel="0" collapsed="false">
      <c r="A11" s="21" t="n">
        <v>10</v>
      </c>
      <c r="B11" s="22" t="n">
        <f aca="false">MAX(0,I10)</f>
        <v>24642.1216445055</v>
      </c>
      <c r="C11" s="22" t="n">
        <f aca="false">IF(B11&lt;=0,0,IF(A11='Loan Calculator'!B12,MIN('Loan Calculator'!B11,B11),0)+IF(A11='Loan Calculator'!B14,MIN('Loan Calculator'!B13,B11),0))</f>
        <v>0</v>
      </c>
      <c r="D11" s="22" t="n">
        <f aca="false">IF(B11&lt;=0,0,'Loan Calculator'!B4)</f>
        <v>365.72</v>
      </c>
      <c r="E11" s="22" t="n">
        <f aca="false">IF(B11&lt;=0,0,IF(A11&gt;='Loan Calculator'!B18,'Loan Calculator'!B17,0)+IF(A11&gt;='Loan Calculator'!B20,'Loan Calculator'!B19,0)+IF(A11&gt;='Loan Calculator'!B22,'Loan Calculator'!B21,0))</f>
        <v>0</v>
      </c>
      <c r="F11" s="22" t="n">
        <f aca="false">IF(B11&lt;=0,0,MIN(D11+E11,(B11-C11)*(1+'Loan Calculator'!B7)))</f>
        <v>365.72</v>
      </c>
      <c r="G11" s="22" t="n">
        <f aca="false">IF(B11&lt;=0,0,MAX(0,(B11-C11)*'Loan Calculator'!B7))</f>
        <v>56.8664345642434</v>
      </c>
      <c r="H11" s="22" t="n">
        <f aca="false">IF(B11&lt;=0,0,F11-G11)</f>
        <v>308.853565435757</v>
      </c>
      <c r="I11" s="22" t="n">
        <f aca="false">IF(B11&lt;=0,0,MAX(0,B11-C11-H11))</f>
        <v>24333.2680790697</v>
      </c>
      <c r="J11" s="22" t="n">
        <f aca="false">J10+G11</f>
        <v>600.468079069713</v>
      </c>
    </row>
    <row r="12" customFormat="false" ht="15" hidden="false" customHeight="false" outlineLevel="0" collapsed="false">
      <c r="A12" s="18" t="n">
        <v>11</v>
      </c>
      <c r="B12" s="19" t="n">
        <f aca="false">MAX(0,I11)</f>
        <v>24333.2680790697</v>
      </c>
      <c r="C12" s="19" t="n">
        <f aca="false">IF(B12&lt;=0,0,IF(A12='Loan Calculator'!B12,MIN('Loan Calculator'!B11,B12),0)+IF(A12='Loan Calculator'!B14,MIN('Loan Calculator'!B13,B12),0))</f>
        <v>0</v>
      </c>
      <c r="D12" s="19" t="n">
        <f aca="false">IF(B12&lt;=0,0,'Loan Calculator'!B4)</f>
        <v>365.72</v>
      </c>
      <c r="E12" s="19" t="n">
        <f aca="false">IF(B12&lt;=0,0,IF(A12&gt;='Loan Calculator'!B18,'Loan Calculator'!B17,0)+IF(A12&gt;='Loan Calculator'!B20,'Loan Calculator'!B19,0)+IF(A12&gt;='Loan Calculator'!B22,'Loan Calculator'!B21,0))</f>
        <v>0</v>
      </c>
      <c r="F12" s="19" t="n">
        <f aca="false">IF(B12&lt;=0,0,MIN(D12+E12,(B12-C12)*(1+'Loan Calculator'!B7)))</f>
        <v>365.72</v>
      </c>
      <c r="G12" s="19" t="n">
        <f aca="false">IF(B12&lt;=0,0,MAX(0,(B12-C12)*'Loan Calculator'!B7))</f>
        <v>56.1536955670839</v>
      </c>
      <c r="H12" s="19" t="n">
        <f aca="false">IF(B12&lt;=0,0,F12-G12)</f>
        <v>309.566304432916</v>
      </c>
      <c r="I12" s="19" t="n">
        <f aca="false">IF(B12&lt;=0,0,MAX(0,B12-C12-H12))</f>
        <v>24023.7017746368</v>
      </c>
      <c r="J12" s="19" t="n">
        <f aca="false">J11+G12</f>
        <v>656.621774636797</v>
      </c>
    </row>
    <row r="13" customFormat="false" ht="15" hidden="false" customHeight="false" outlineLevel="0" collapsed="false">
      <c r="A13" s="21" t="n">
        <v>12</v>
      </c>
      <c r="B13" s="22" t="n">
        <f aca="false">MAX(0,I12)</f>
        <v>24023.7017746368</v>
      </c>
      <c r="C13" s="22" t="n">
        <f aca="false">IF(B13&lt;=0,0,IF(A13='Loan Calculator'!B12,MIN('Loan Calculator'!B11,B13),0)+IF(A13='Loan Calculator'!B14,MIN('Loan Calculator'!B13,B13),0))</f>
        <v>0</v>
      </c>
      <c r="D13" s="22" t="n">
        <f aca="false">IF(B13&lt;=0,0,'Loan Calculator'!B4)</f>
        <v>365.72</v>
      </c>
      <c r="E13" s="22" t="n">
        <f aca="false">IF(B13&lt;=0,0,IF(A13&gt;='Loan Calculator'!B18,'Loan Calculator'!B17,0)+IF(A13&gt;='Loan Calculator'!B20,'Loan Calculator'!B19,0)+IF(A13&gt;='Loan Calculator'!B22,'Loan Calculator'!B21,0))</f>
        <v>0</v>
      </c>
      <c r="F13" s="22" t="n">
        <f aca="false">IF(B13&lt;=0,0,MIN(D13+E13,(B13-C13)*(1+'Loan Calculator'!B7)))</f>
        <v>365.72</v>
      </c>
      <c r="G13" s="22" t="n">
        <f aca="false">IF(B13&lt;=0,0,MAX(0,(B13-C13)*'Loan Calculator'!B7))</f>
        <v>55.4393117876234</v>
      </c>
      <c r="H13" s="22" t="n">
        <f aca="false">IF(B13&lt;=0,0,F13-G13)</f>
        <v>310.280688212377</v>
      </c>
      <c r="I13" s="22" t="n">
        <f aca="false">IF(B13&lt;=0,0,MAX(0,B13-C13-H13))</f>
        <v>23713.4210864244</v>
      </c>
      <c r="J13" s="22" t="n">
        <f aca="false">J12+G13</f>
        <v>712.061086424421</v>
      </c>
    </row>
    <row r="14" customFormat="false" ht="15" hidden="false" customHeight="false" outlineLevel="0" collapsed="false">
      <c r="A14" s="18" t="n">
        <v>13</v>
      </c>
      <c r="B14" s="19" t="n">
        <f aca="false">MAX(0,I13)</f>
        <v>23713.4210864244</v>
      </c>
      <c r="C14" s="19" t="n">
        <f aca="false">IF(B14&lt;=0,0,IF(A14='Loan Calculator'!B12,MIN('Loan Calculator'!B11,B14),0)+IF(A14='Loan Calculator'!B14,MIN('Loan Calculator'!B13,B14),0))</f>
        <v>0</v>
      </c>
      <c r="D14" s="19" t="n">
        <f aca="false">IF(B14&lt;=0,0,'Loan Calculator'!B4)</f>
        <v>365.72</v>
      </c>
      <c r="E14" s="19" t="n">
        <f aca="false">IF(B14&lt;=0,0,IF(A14&gt;='Loan Calculator'!B18,'Loan Calculator'!B17,0)+IF(A14&gt;='Loan Calculator'!B20,'Loan Calculator'!B19,0)+IF(A14&gt;='Loan Calculator'!B22,'Loan Calculator'!B21,0))</f>
        <v>197.44</v>
      </c>
      <c r="F14" s="19" t="n">
        <f aca="false">IF(B14&lt;=0,0,MIN(D14+E14,(B14-C14)*(1+'Loan Calculator'!B7)))</f>
        <v>563.16</v>
      </c>
      <c r="G14" s="19" t="n">
        <f aca="false">IF(B14&lt;=0,0,MAX(0,(B14-C14)*'Loan Calculator'!B7))</f>
        <v>54.7232794302102</v>
      </c>
      <c r="H14" s="19" t="n">
        <f aca="false">IF(B14&lt;=0,0,F14-G14)</f>
        <v>508.43672056979</v>
      </c>
      <c r="I14" s="19" t="n">
        <f aca="false">IF(B14&lt;=0,0,MAX(0,B14-C14-H14))</f>
        <v>23204.9843658546</v>
      </c>
      <c r="J14" s="19" t="n">
        <f aca="false">J13+G14</f>
        <v>766.784365854631</v>
      </c>
    </row>
    <row r="15" customFormat="false" ht="15" hidden="false" customHeight="false" outlineLevel="0" collapsed="false">
      <c r="A15" s="21" t="n">
        <v>14</v>
      </c>
      <c r="B15" s="22" t="n">
        <f aca="false">MAX(0,I14)</f>
        <v>23204.9843658546</v>
      </c>
      <c r="C15" s="22" t="n">
        <f aca="false">IF(B15&lt;=0,0,IF(A15='Loan Calculator'!B12,MIN('Loan Calculator'!B11,B15),0)+IF(A15='Loan Calculator'!B14,MIN('Loan Calculator'!B13,B15),0))</f>
        <v>0</v>
      </c>
      <c r="D15" s="22" t="n">
        <f aca="false">IF(B15&lt;=0,0,'Loan Calculator'!B4)</f>
        <v>365.72</v>
      </c>
      <c r="E15" s="22" t="n">
        <f aca="false">IF(B15&lt;=0,0,IF(A15&gt;='Loan Calculator'!B18,'Loan Calculator'!B17,0)+IF(A15&gt;='Loan Calculator'!B20,'Loan Calculator'!B19,0)+IF(A15&gt;='Loan Calculator'!B22,'Loan Calculator'!B21,0))</f>
        <v>197.44</v>
      </c>
      <c r="F15" s="22" t="n">
        <f aca="false">IF(B15&lt;=0,0,MIN(D15+E15,(B15-C15)*(1+'Loan Calculator'!B7)))</f>
        <v>563.16</v>
      </c>
      <c r="G15" s="22" t="n">
        <f aca="false">IF(B15&lt;=0,0,MAX(0,(B15-C15)*'Loan Calculator'!B7))</f>
        <v>53.549963921203</v>
      </c>
      <c r="H15" s="22" t="n">
        <f aca="false">IF(B15&lt;=0,0,F15-G15)</f>
        <v>509.610036078797</v>
      </c>
      <c r="I15" s="22" t="n">
        <f aca="false">IF(B15&lt;=0,0,MAX(0,B15-C15-H15))</f>
        <v>22695.3743297758</v>
      </c>
      <c r="J15" s="22" t="n">
        <f aca="false">J14+G15</f>
        <v>820.334329775834</v>
      </c>
    </row>
    <row r="16" customFormat="false" ht="15" hidden="false" customHeight="false" outlineLevel="0" collapsed="false">
      <c r="A16" s="18" t="n">
        <v>15</v>
      </c>
      <c r="B16" s="19" t="n">
        <f aca="false">MAX(0,I15)</f>
        <v>22695.3743297758</v>
      </c>
      <c r="C16" s="19" t="n">
        <f aca="false">IF(B16&lt;=0,0,IF(A16='Loan Calculator'!B12,MIN('Loan Calculator'!B11,B16),0)+IF(A16='Loan Calculator'!B14,MIN('Loan Calculator'!B13,B16),0))</f>
        <v>0</v>
      </c>
      <c r="D16" s="19" t="n">
        <f aca="false">IF(B16&lt;=0,0,'Loan Calculator'!B4)</f>
        <v>365.72</v>
      </c>
      <c r="E16" s="19" t="n">
        <f aca="false">IF(B16&lt;=0,0,IF(A16&gt;='Loan Calculator'!B18,'Loan Calculator'!B17,0)+IF(A16&gt;='Loan Calculator'!B20,'Loan Calculator'!B19,0)+IF(A16&gt;='Loan Calculator'!B22,'Loan Calculator'!B21,0))</f>
        <v>197.44</v>
      </c>
      <c r="F16" s="19" t="n">
        <f aca="false">IF(B16&lt;=0,0,MIN(D16+E16,(B16-C16)*(1+'Loan Calculator'!B7)))</f>
        <v>563.16</v>
      </c>
      <c r="G16" s="19" t="n">
        <f aca="false">IF(B16&lt;=0,0,MAX(0,(B16-C16)*'Loan Calculator'!B7))</f>
        <v>52.3739407610211</v>
      </c>
      <c r="H16" s="19" t="n">
        <f aca="false">IF(B16&lt;=0,0,F16-G16)</f>
        <v>510.786059238979</v>
      </c>
      <c r="I16" s="19" t="n">
        <f aca="false">IF(B16&lt;=0,0,MAX(0,B16-C16-H16))</f>
        <v>22184.5882705369</v>
      </c>
      <c r="J16" s="19" t="n">
        <f aca="false">J15+G16</f>
        <v>872.708270536855</v>
      </c>
    </row>
    <row r="17" customFormat="false" ht="15" hidden="false" customHeight="false" outlineLevel="0" collapsed="false">
      <c r="A17" s="21" t="n">
        <v>16</v>
      </c>
      <c r="B17" s="22" t="n">
        <f aca="false">MAX(0,I16)</f>
        <v>22184.5882705369</v>
      </c>
      <c r="C17" s="22" t="n">
        <f aca="false">IF(B17&lt;=0,0,IF(A17='Loan Calculator'!B12,MIN('Loan Calculator'!B11,B17),0)+IF(A17='Loan Calculator'!B14,MIN('Loan Calculator'!B13,B17),0))</f>
        <v>0</v>
      </c>
      <c r="D17" s="22" t="n">
        <f aca="false">IF(B17&lt;=0,0,'Loan Calculator'!B4)</f>
        <v>365.72</v>
      </c>
      <c r="E17" s="22" t="n">
        <f aca="false">IF(B17&lt;=0,0,IF(A17&gt;='Loan Calculator'!B18,'Loan Calculator'!B17,0)+IF(A17&gt;='Loan Calculator'!B20,'Loan Calculator'!B19,0)+IF(A17&gt;='Loan Calculator'!B22,'Loan Calculator'!B21,0))</f>
        <v>197.44</v>
      </c>
      <c r="F17" s="22" t="n">
        <f aca="false">IF(B17&lt;=0,0,MIN(D17+E17,(B17-C17)*(1+'Loan Calculator'!B7)))</f>
        <v>563.16</v>
      </c>
      <c r="G17" s="22" t="n">
        <f aca="false">IF(B17&lt;=0,0,MAX(0,(B17-C17)*'Loan Calculator'!B7))</f>
        <v>51.1952037012389</v>
      </c>
      <c r="H17" s="22" t="n">
        <f aca="false">IF(B17&lt;=0,0,F17-G17)</f>
        <v>511.964796298761</v>
      </c>
      <c r="I17" s="22" t="n">
        <f aca="false">IF(B17&lt;=0,0,MAX(0,B17-C17-H17))</f>
        <v>21672.6234742381</v>
      </c>
      <c r="J17" s="22" t="n">
        <f aca="false">J16+G17</f>
        <v>923.903474238094</v>
      </c>
    </row>
    <row r="18" customFormat="false" ht="15" hidden="false" customHeight="false" outlineLevel="0" collapsed="false">
      <c r="A18" s="18" t="n">
        <v>17</v>
      </c>
      <c r="B18" s="19" t="n">
        <f aca="false">MAX(0,I17)</f>
        <v>21672.6234742381</v>
      </c>
      <c r="C18" s="19" t="n">
        <f aca="false">IF(B18&lt;=0,0,IF(A18='Loan Calculator'!B12,MIN('Loan Calculator'!B11,B18),0)+IF(A18='Loan Calculator'!B14,MIN('Loan Calculator'!B13,B18),0))</f>
        <v>0</v>
      </c>
      <c r="D18" s="19" t="n">
        <f aca="false">IF(B18&lt;=0,0,'Loan Calculator'!B4)</f>
        <v>365.72</v>
      </c>
      <c r="E18" s="19" t="n">
        <f aca="false">IF(B18&lt;=0,0,IF(A18&gt;='Loan Calculator'!B18,'Loan Calculator'!B17,0)+IF(A18&gt;='Loan Calculator'!B20,'Loan Calculator'!B19,0)+IF(A18&gt;='Loan Calculator'!B22,'Loan Calculator'!B21,0))</f>
        <v>197.44</v>
      </c>
      <c r="F18" s="19" t="n">
        <f aca="false">IF(B18&lt;=0,0,MIN(D18+E18,(B18-C18)*(1+'Loan Calculator'!B7)))</f>
        <v>563.16</v>
      </c>
      <c r="G18" s="19" t="n">
        <f aca="false">IF(B18&lt;=0,0,MAX(0,(B18-C18)*'Loan Calculator'!B7))</f>
        <v>50.013746479011</v>
      </c>
      <c r="H18" s="19" t="n">
        <f aca="false">IF(B18&lt;=0,0,F18-G18)</f>
        <v>513.146253520989</v>
      </c>
      <c r="I18" s="19" t="n">
        <f aca="false">IF(B18&lt;=0,0,MAX(0,B18-C18-H18))</f>
        <v>21159.4772207171</v>
      </c>
      <c r="J18" s="19" t="n">
        <f aca="false">J17+G18</f>
        <v>973.917220717105</v>
      </c>
    </row>
    <row r="19" customFormat="false" ht="15" hidden="false" customHeight="false" outlineLevel="0" collapsed="false">
      <c r="A19" s="21" t="n">
        <v>18</v>
      </c>
      <c r="B19" s="22" t="n">
        <f aca="false">MAX(0,I18)</f>
        <v>21159.4772207171</v>
      </c>
      <c r="C19" s="22" t="n">
        <f aca="false">IF(B19&lt;=0,0,IF(A19='Loan Calculator'!B12,MIN('Loan Calculator'!B11,B19),0)+IF(A19='Loan Calculator'!B14,MIN('Loan Calculator'!B13,B19),0))</f>
        <v>0</v>
      </c>
      <c r="D19" s="22" t="n">
        <f aca="false">IF(B19&lt;=0,0,'Loan Calculator'!B4)</f>
        <v>365.72</v>
      </c>
      <c r="E19" s="22" t="n">
        <f aca="false">IF(B19&lt;=0,0,IF(A19&gt;='Loan Calculator'!B18,'Loan Calculator'!B17,0)+IF(A19&gt;='Loan Calculator'!B20,'Loan Calculator'!B19,0)+IF(A19&gt;='Loan Calculator'!B22,'Loan Calculator'!B21,0))</f>
        <v>197.44</v>
      </c>
      <c r="F19" s="22" t="n">
        <f aca="false">IF(B19&lt;=0,0,MIN(D19+E19,(B19-C19)*(1+'Loan Calculator'!B7)))</f>
        <v>563.16</v>
      </c>
      <c r="G19" s="22" t="n">
        <f aca="false">IF(B19&lt;=0,0,MAX(0,(B19-C19)*'Loan Calculator'!B7))</f>
        <v>48.8295628170395</v>
      </c>
      <c r="H19" s="22" t="n">
        <f aca="false">IF(B19&lt;=0,0,F19-G19)</f>
        <v>514.330437182961</v>
      </c>
      <c r="I19" s="22" t="n">
        <f aca="false">IF(B19&lt;=0,0,MAX(0,B19-C19-H19))</f>
        <v>20645.1467835341</v>
      </c>
      <c r="J19" s="22" t="n">
        <f aca="false">J18+G19</f>
        <v>1022.74678353414</v>
      </c>
    </row>
    <row r="20" customFormat="false" ht="15" hidden="false" customHeight="false" outlineLevel="0" collapsed="false">
      <c r="A20" s="18" t="n">
        <v>19</v>
      </c>
      <c r="B20" s="19" t="n">
        <f aca="false">MAX(0,I19)</f>
        <v>20645.1467835341</v>
      </c>
      <c r="C20" s="19" t="n">
        <f aca="false">IF(B20&lt;=0,0,IF(A20='Loan Calculator'!B12,MIN('Loan Calculator'!B11,B20),0)+IF(A20='Loan Calculator'!B14,MIN('Loan Calculator'!B13,B20),0))</f>
        <v>0</v>
      </c>
      <c r="D20" s="19" t="n">
        <f aca="false">IF(B20&lt;=0,0,'Loan Calculator'!B4)</f>
        <v>365.72</v>
      </c>
      <c r="E20" s="19" t="n">
        <f aca="false">IF(B20&lt;=0,0,IF(A20&gt;='Loan Calculator'!B18,'Loan Calculator'!B17,0)+IF(A20&gt;='Loan Calculator'!B20,'Loan Calculator'!B19,0)+IF(A20&gt;='Loan Calculator'!B22,'Loan Calculator'!B21,0))</f>
        <v>197.44</v>
      </c>
      <c r="F20" s="19" t="n">
        <f aca="false">IF(B20&lt;=0,0,MIN(D20+E20,(B20-C20)*(1+'Loan Calculator'!B7)))</f>
        <v>563.16</v>
      </c>
      <c r="G20" s="19" t="n">
        <f aca="false">IF(B20&lt;=0,0,MAX(0,(B20-C20)*'Loan Calculator'!B7))</f>
        <v>47.6426464235403</v>
      </c>
      <c r="H20" s="19" t="n">
        <f aca="false">IF(B20&lt;=0,0,F20-G20)</f>
        <v>515.51735357646</v>
      </c>
      <c r="I20" s="19" t="n">
        <f aca="false">IF(B20&lt;=0,0,MAX(0,B20-C20-H20))</f>
        <v>20129.6294299577</v>
      </c>
      <c r="J20" s="19" t="n">
        <f aca="false">J19+G20</f>
        <v>1070.38942995768</v>
      </c>
    </row>
    <row r="21" customFormat="false" ht="15" hidden="false" customHeight="false" outlineLevel="0" collapsed="false">
      <c r="A21" s="21" t="n">
        <v>20</v>
      </c>
      <c r="B21" s="22" t="n">
        <f aca="false">MAX(0,I20)</f>
        <v>20129.6294299577</v>
      </c>
      <c r="C21" s="22" t="n">
        <f aca="false">IF(B21&lt;=0,0,IF(A21='Loan Calculator'!B12,MIN('Loan Calculator'!B11,B21),0)+IF(A21='Loan Calculator'!B14,MIN('Loan Calculator'!B13,B21),0))</f>
        <v>0</v>
      </c>
      <c r="D21" s="22" t="n">
        <f aca="false">IF(B21&lt;=0,0,'Loan Calculator'!B4)</f>
        <v>365.72</v>
      </c>
      <c r="E21" s="22" t="n">
        <f aca="false">IF(B21&lt;=0,0,IF(A21&gt;='Loan Calculator'!B18,'Loan Calculator'!B17,0)+IF(A21&gt;='Loan Calculator'!B20,'Loan Calculator'!B19,0)+IF(A21&gt;='Loan Calculator'!B22,'Loan Calculator'!B21,0))</f>
        <v>197.44</v>
      </c>
      <c r="F21" s="22" t="n">
        <f aca="false">IF(B21&lt;=0,0,MIN(D21+E21,(B21-C21)*(1+'Loan Calculator'!B7)))</f>
        <v>563.16</v>
      </c>
      <c r="G21" s="22" t="n">
        <f aca="false">IF(B21&lt;=0,0,MAX(0,(B21-C21)*'Loan Calculator'!B7))</f>
        <v>46.45299099221</v>
      </c>
      <c r="H21" s="22" t="n">
        <f aca="false">IF(B21&lt;=0,0,F21-G21)</f>
        <v>516.70700900779</v>
      </c>
      <c r="I21" s="22" t="n">
        <f aca="false">IF(B21&lt;=0,0,MAX(0,B21-C21-H21))</f>
        <v>19612.9224209499</v>
      </c>
      <c r="J21" s="22" t="n">
        <f aca="false">J20+G21</f>
        <v>1116.84242094989</v>
      </c>
    </row>
    <row r="22" customFormat="false" ht="15" hidden="false" customHeight="false" outlineLevel="0" collapsed="false">
      <c r="A22" s="18" t="n">
        <v>21</v>
      </c>
      <c r="B22" s="19" t="n">
        <f aca="false">MAX(0,I21)</f>
        <v>19612.9224209499</v>
      </c>
      <c r="C22" s="19" t="n">
        <f aca="false">IF(B22&lt;=0,0,IF(A22='Loan Calculator'!B12,MIN('Loan Calculator'!B11,B22),0)+IF(A22='Loan Calculator'!B14,MIN('Loan Calculator'!B13,B22),0))</f>
        <v>0</v>
      </c>
      <c r="D22" s="19" t="n">
        <f aca="false">IF(B22&lt;=0,0,'Loan Calculator'!B4)</f>
        <v>365.72</v>
      </c>
      <c r="E22" s="19" t="n">
        <f aca="false">IF(B22&lt;=0,0,IF(A22&gt;='Loan Calculator'!B18,'Loan Calculator'!B17,0)+IF(A22&gt;='Loan Calculator'!B20,'Loan Calculator'!B19,0)+IF(A22&gt;='Loan Calculator'!B22,'Loan Calculator'!B21,0))</f>
        <v>197.44</v>
      </c>
      <c r="F22" s="19" t="n">
        <f aca="false">IF(B22&lt;=0,0,MIN(D22+E22,(B22-C22)*(1+'Loan Calculator'!B7)))</f>
        <v>563.16</v>
      </c>
      <c r="G22" s="19" t="n">
        <f aca="false">IF(B22&lt;=0,0,MAX(0,(B22-C22)*'Loan Calculator'!B7))</f>
        <v>45.260590202192</v>
      </c>
      <c r="H22" s="19" t="n">
        <f aca="false">IF(B22&lt;=0,0,F22-G22)</f>
        <v>517.899409797808</v>
      </c>
      <c r="I22" s="19" t="n">
        <f aca="false">IF(B22&lt;=0,0,MAX(0,B22-C22-H22))</f>
        <v>19095.0230111521</v>
      </c>
      <c r="J22" s="19" t="n">
        <f aca="false">J21+G22</f>
        <v>1162.10301115209</v>
      </c>
    </row>
    <row r="23" customFormat="false" ht="15" hidden="false" customHeight="false" outlineLevel="0" collapsed="false">
      <c r="A23" s="21" t="n">
        <v>22</v>
      </c>
      <c r="B23" s="22" t="n">
        <f aca="false">MAX(0,I22)</f>
        <v>19095.0230111521</v>
      </c>
      <c r="C23" s="22" t="n">
        <f aca="false">IF(B23&lt;=0,0,IF(A23='Loan Calculator'!B12,MIN('Loan Calculator'!B11,B23),0)+IF(A23='Loan Calculator'!B14,MIN('Loan Calculator'!B13,B23),0))</f>
        <v>0</v>
      </c>
      <c r="D23" s="22" t="n">
        <f aca="false">IF(B23&lt;=0,0,'Loan Calculator'!B4)</f>
        <v>365.72</v>
      </c>
      <c r="E23" s="22" t="n">
        <f aca="false">IF(B23&lt;=0,0,IF(A23&gt;='Loan Calculator'!B18,'Loan Calculator'!B17,0)+IF(A23&gt;='Loan Calculator'!B20,'Loan Calculator'!B19,0)+IF(A23&gt;='Loan Calculator'!B22,'Loan Calculator'!B21,0))</f>
        <v>197.44</v>
      </c>
      <c r="F23" s="22" t="n">
        <f aca="false">IF(B23&lt;=0,0,MIN(D23+E23,(B23-C23)*(1+'Loan Calculator'!B7)))</f>
        <v>563.16</v>
      </c>
      <c r="G23" s="22" t="n">
        <f aca="false">IF(B23&lt;=0,0,MAX(0,(B23-C23)*'Loan Calculator'!B7))</f>
        <v>44.0654377180433</v>
      </c>
      <c r="H23" s="22" t="n">
        <f aca="false">IF(B23&lt;=0,0,F23-G23)</f>
        <v>519.094562281957</v>
      </c>
      <c r="I23" s="22" t="n">
        <f aca="false">IF(B23&lt;=0,0,MAX(0,B23-C23-H23))</f>
        <v>18575.9284488701</v>
      </c>
      <c r="J23" s="22" t="n">
        <f aca="false">J22+G23</f>
        <v>1206.16844887013</v>
      </c>
    </row>
    <row r="24" customFormat="false" ht="15" hidden="false" customHeight="false" outlineLevel="0" collapsed="false">
      <c r="A24" s="18" t="n">
        <v>23</v>
      </c>
      <c r="B24" s="19" t="n">
        <f aca="false">MAX(0,I23)</f>
        <v>18575.9284488701</v>
      </c>
      <c r="C24" s="19" t="n">
        <f aca="false">IF(B24&lt;=0,0,IF(A24='Loan Calculator'!B12,MIN('Loan Calculator'!B11,B24),0)+IF(A24='Loan Calculator'!B14,MIN('Loan Calculator'!B13,B24),0))</f>
        <v>0</v>
      </c>
      <c r="D24" s="19" t="n">
        <f aca="false">IF(B24&lt;=0,0,'Loan Calculator'!B4)</f>
        <v>365.72</v>
      </c>
      <c r="E24" s="19" t="n">
        <f aca="false">IF(B24&lt;=0,0,IF(A24&gt;='Loan Calculator'!B18,'Loan Calculator'!B17,0)+IF(A24&gt;='Loan Calculator'!B20,'Loan Calculator'!B19,0)+IF(A24&gt;='Loan Calculator'!B22,'Loan Calculator'!B21,0))</f>
        <v>197.44</v>
      </c>
      <c r="F24" s="19" t="n">
        <f aca="false">IF(B24&lt;=0,0,MIN(D24+E24,(B24-C24)*(1+'Loan Calculator'!B7)))</f>
        <v>563.16</v>
      </c>
      <c r="G24" s="19" t="n">
        <f aca="false">IF(B24&lt;=0,0,MAX(0,(B24-C24)*'Loan Calculator'!B7))</f>
        <v>42.8675271897003</v>
      </c>
      <c r="H24" s="19" t="n">
        <f aca="false">IF(B24&lt;=0,0,F24-G24)</f>
        <v>520.2924728103</v>
      </c>
      <c r="I24" s="19" t="n">
        <f aca="false">IF(B24&lt;=0,0,MAX(0,B24-C24-H24))</f>
        <v>18055.6359760598</v>
      </c>
      <c r="J24" s="19" t="n">
        <f aca="false">J23+G24</f>
        <v>1249.03597605983</v>
      </c>
    </row>
    <row r="25" customFormat="false" ht="15" hidden="false" customHeight="false" outlineLevel="0" collapsed="false">
      <c r="A25" s="21" t="n">
        <v>24</v>
      </c>
      <c r="B25" s="22" t="n">
        <f aca="false">MAX(0,I24)</f>
        <v>18055.6359760598</v>
      </c>
      <c r="C25" s="22" t="n">
        <f aca="false">IF(B25&lt;=0,0,IF(A25='Loan Calculator'!B12,MIN('Loan Calculator'!B11,B25),0)+IF(A25='Loan Calculator'!B14,MIN('Loan Calculator'!B13,B25),0))</f>
        <v>0</v>
      </c>
      <c r="D25" s="22" t="n">
        <f aca="false">IF(B25&lt;=0,0,'Loan Calculator'!B4)</f>
        <v>365.72</v>
      </c>
      <c r="E25" s="22" t="n">
        <f aca="false">IF(B25&lt;=0,0,IF(A25&gt;='Loan Calculator'!B18,'Loan Calculator'!B17,0)+IF(A25&gt;='Loan Calculator'!B20,'Loan Calculator'!B19,0)+IF(A25&gt;='Loan Calculator'!B22,'Loan Calculator'!B21,0))</f>
        <v>197.44</v>
      </c>
      <c r="F25" s="22" t="n">
        <f aca="false">IF(B25&lt;=0,0,MIN(D25+E25,(B25-C25)*(1+'Loan Calculator'!B7)))</f>
        <v>563.16</v>
      </c>
      <c r="G25" s="22" t="n">
        <f aca="false">IF(B25&lt;=0,0,MAX(0,(B25-C25)*'Loan Calculator'!B7))</f>
        <v>41.6668522524457</v>
      </c>
      <c r="H25" s="22" t="n">
        <f aca="false">IF(B25&lt;=0,0,F25-G25)</f>
        <v>521.493147747554</v>
      </c>
      <c r="I25" s="22" t="n">
        <f aca="false">IF(B25&lt;=0,0,MAX(0,B25-C25-H25))</f>
        <v>17534.1428283123</v>
      </c>
      <c r="J25" s="22" t="n">
        <f aca="false">J24+G25</f>
        <v>1290.70282831228</v>
      </c>
    </row>
    <row r="26" customFormat="false" ht="15" hidden="false" customHeight="false" outlineLevel="0" collapsed="false">
      <c r="A26" s="18" t="n">
        <v>25</v>
      </c>
      <c r="B26" s="19" t="n">
        <f aca="false">MAX(0,I25)</f>
        <v>17534.1428283123</v>
      </c>
      <c r="C26" s="19" t="n">
        <f aca="false">IF(B26&lt;=0,0,IF(A26='Loan Calculator'!B12,MIN('Loan Calculator'!B11,B26),0)+IF(A26='Loan Calculator'!B14,MIN('Loan Calculator'!B13,B26),0))</f>
        <v>0</v>
      </c>
      <c r="D26" s="19" t="n">
        <f aca="false">IF(B26&lt;=0,0,'Loan Calculator'!B4)</f>
        <v>365.72</v>
      </c>
      <c r="E26" s="19" t="n">
        <f aca="false">IF(B26&lt;=0,0,IF(A26&gt;='Loan Calculator'!B18,'Loan Calculator'!B17,0)+IF(A26&gt;='Loan Calculator'!B20,'Loan Calculator'!B19,0)+IF(A26&gt;='Loan Calculator'!B22,'Loan Calculator'!B21,0))</f>
        <v>197.44</v>
      </c>
      <c r="F26" s="19" t="n">
        <f aca="false">IF(B26&lt;=0,0,MIN(D26+E26,(B26-C26)*(1+'Loan Calculator'!B7)))</f>
        <v>563.16</v>
      </c>
      <c r="G26" s="19" t="n">
        <f aca="false">IF(B26&lt;=0,0,MAX(0,(B26-C26)*'Loan Calculator'!B7))</f>
        <v>40.4634065268745</v>
      </c>
      <c r="H26" s="19" t="n">
        <f aca="false">IF(B26&lt;=0,0,F26-G26)</f>
        <v>522.696593473126</v>
      </c>
      <c r="I26" s="19" t="n">
        <f aca="false">IF(B26&lt;=0,0,MAX(0,B26-C26-H26))</f>
        <v>17011.4462348391</v>
      </c>
      <c r="J26" s="19" t="n">
        <f aca="false">J25+G26</f>
        <v>1331.16623483915</v>
      </c>
    </row>
    <row r="27" customFormat="false" ht="15" hidden="false" customHeight="false" outlineLevel="0" collapsed="false">
      <c r="A27" s="21" t="n">
        <v>26</v>
      </c>
      <c r="B27" s="22" t="n">
        <f aca="false">MAX(0,I26)</f>
        <v>17011.4462348391</v>
      </c>
      <c r="C27" s="22" t="n">
        <f aca="false">IF(B27&lt;=0,0,IF(A27='Loan Calculator'!B12,MIN('Loan Calculator'!B11,B27),0)+IF(A27='Loan Calculator'!B14,MIN('Loan Calculator'!B13,B27),0))</f>
        <v>0</v>
      </c>
      <c r="D27" s="22" t="n">
        <f aca="false">IF(B27&lt;=0,0,'Loan Calculator'!B4)</f>
        <v>365.72</v>
      </c>
      <c r="E27" s="22" t="n">
        <f aca="false">IF(B27&lt;=0,0,IF(A27&gt;='Loan Calculator'!B18,'Loan Calculator'!B17,0)+IF(A27&gt;='Loan Calculator'!B20,'Loan Calculator'!B19,0)+IF(A27&gt;='Loan Calculator'!B22,'Loan Calculator'!B21,0))</f>
        <v>197.44</v>
      </c>
      <c r="F27" s="22" t="n">
        <f aca="false">IF(B27&lt;=0,0,MIN(D27+E27,(B27-C27)*(1+'Loan Calculator'!B7)))</f>
        <v>563.16</v>
      </c>
      <c r="G27" s="22" t="n">
        <f aca="false">IF(B27&lt;=0,0,MAX(0,(B27-C27)*'Loan Calculator'!B7))</f>
        <v>39.2571836188596</v>
      </c>
      <c r="H27" s="22" t="n">
        <f aca="false">IF(B27&lt;=0,0,F27-G27)</f>
        <v>523.902816381141</v>
      </c>
      <c r="I27" s="22" t="n">
        <f aca="false">IF(B27&lt;=0,0,MAX(0,B27-C27-H27))</f>
        <v>16487.543418458</v>
      </c>
      <c r="J27" s="22" t="n">
        <f aca="false">J26+G27</f>
        <v>1370.42341845801</v>
      </c>
    </row>
    <row r="28" customFormat="false" ht="15" hidden="false" customHeight="false" outlineLevel="0" collapsed="false">
      <c r="A28" s="18" t="n">
        <v>27</v>
      </c>
      <c r="B28" s="19" t="n">
        <f aca="false">MAX(0,I27)</f>
        <v>16487.543418458</v>
      </c>
      <c r="C28" s="19" t="n">
        <f aca="false">IF(B28&lt;=0,0,IF(A28='Loan Calculator'!B12,MIN('Loan Calculator'!B11,B28),0)+IF(A28='Loan Calculator'!B14,MIN('Loan Calculator'!B13,B28),0))</f>
        <v>0</v>
      </c>
      <c r="D28" s="19" t="n">
        <f aca="false">IF(B28&lt;=0,0,'Loan Calculator'!B4)</f>
        <v>365.72</v>
      </c>
      <c r="E28" s="19" t="n">
        <f aca="false">IF(B28&lt;=0,0,IF(A28&gt;='Loan Calculator'!B18,'Loan Calculator'!B17,0)+IF(A28&gt;='Loan Calculator'!B20,'Loan Calculator'!B19,0)+IF(A28&gt;='Loan Calculator'!B22,'Loan Calculator'!B21,0))</f>
        <v>197.44</v>
      </c>
      <c r="F28" s="19" t="n">
        <f aca="false">IF(B28&lt;=0,0,MIN(D28+E28,(B28-C28)*(1+'Loan Calculator'!B7)))</f>
        <v>563.16</v>
      </c>
      <c r="G28" s="19" t="n">
        <f aca="false">IF(B28&lt;=0,0,MAX(0,(B28-C28)*'Loan Calculator'!B7))</f>
        <v>38.0481771195185</v>
      </c>
      <c r="H28" s="19" t="n">
        <f aca="false">IF(B28&lt;=0,0,F28-G28)</f>
        <v>525.111822880482</v>
      </c>
      <c r="I28" s="19" t="n">
        <f aca="false">IF(B28&lt;=0,0,MAX(0,B28-C28-H28))</f>
        <v>15962.4315955775</v>
      </c>
      <c r="J28" s="19" t="n">
        <f aca="false">J27+G28</f>
        <v>1408.47159557753</v>
      </c>
    </row>
    <row r="29" customFormat="false" ht="15" hidden="false" customHeight="false" outlineLevel="0" collapsed="false">
      <c r="A29" s="21" t="n">
        <v>28</v>
      </c>
      <c r="B29" s="22" t="n">
        <f aca="false">MAX(0,I28)</f>
        <v>15962.4315955775</v>
      </c>
      <c r="C29" s="22" t="n">
        <f aca="false">IF(B29&lt;=0,0,IF(A29='Loan Calculator'!B12,MIN('Loan Calculator'!B11,B29),0)+IF(A29='Loan Calculator'!B14,MIN('Loan Calculator'!B13,B29),0))</f>
        <v>0</v>
      </c>
      <c r="D29" s="22" t="n">
        <f aca="false">IF(B29&lt;=0,0,'Loan Calculator'!B4)</f>
        <v>365.72</v>
      </c>
      <c r="E29" s="22" t="n">
        <f aca="false">IF(B29&lt;=0,0,IF(A29&gt;='Loan Calculator'!B18,'Loan Calculator'!B17,0)+IF(A29&gt;='Loan Calculator'!B20,'Loan Calculator'!B19,0)+IF(A29&gt;='Loan Calculator'!B22,'Loan Calculator'!B21,0))</f>
        <v>197.44</v>
      </c>
      <c r="F29" s="22" t="n">
        <f aca="false">IF(B29&lt;=0,0,MIN(D29+E29,(B29-C29)*(1+'Loan Calculator'!B7)))</f>
        <v>563.16</v>
      </c>
      <c r="G29" s="22" t="n">
        <f aca="false">IF(B29&lt;=0,0,MAX(0,(B29-C29)*'Loan Calculator'!B7))</f>
        <v>36.8363806051789</v>
      </c>
      <c r="H29" s="22" t="n">
        <f aca="false">IF(B29&lt;=0,0,F29-G29)</f>
        <v>526.323619394821</v>
      </c>
      <c r="I29" s="22" t="n">
        <f aca="false">IF(B29&lt;=0,0,MAX(0,B29-C29-H29))</f>
        <v>15436.1079761827</v>
      </c>
      <c r="J29" s="22" t="n">
        <f aca="false">J28+G29</f>
        <v>1445.30797618271</v>
      </c>
    </row>
    <row r="30" customFormat="false" ht="15" hidden="false" customHeight="false" outlineLevel="0" collapsed="false">
      <c r="A30" s="18" t="n">
        <v>29</v>
      </c>
      <c r="B30" s="19" t="n">
        <f aca="false">MAX(0,I29)</f>
        <v>15436.1079761827</v>
      </c>
      <c r="C30" s="19" t="n">
        <f aca="false">IF(B30&lt;=0,0,IF(A30='Loan Calculator'!B12,MIN('Loan Calculator'!B11,B30),0)+IF(A30='Loan Calculator'!B14,MIN('Loan Calculator'!B13,B30),0))</f>
        <v>0</v>
      </c>
      <c r="D30" s="19" t="n">
        <f aca="false">IF(B30&lt;=0,0,'Loan Calculator'!B4)</f>
        <v>365.72</v>
      </c>
      <c r="E30" s="19" t="n">
        <f aca="false">IF(B30&lt;=0,0,IF(A30&gt;='Loan Calculator'!B18,'Loan Calculator'!B17,0)+IF(A30&gt;='Loan Calculator'!B20,'Loan Calculator'!B19,0)+IF(A30&gt;='Loan Calculator'!B22,'Loan Calculator'!B21,0))</f>
        <v>197.44</v>
      </c>
      <c r="F30" s="19" t="n">
        <f aca="false">IF(B30&lt;=0,0,MIN(D30+E30,(B30-C30)*(1+'Loan Calculator'!B7)))</f>
        <v>563.16</v>
      </c>
      <c r="G30" s="19" t="n">
        <f aca="false">IF(B30&lt;=0,0,MAX(0,(B30-C30)*'Loan Calculator'!B7))</f>
        <v>35.6217876373447</v>
      </c>
      <c r="H30" s="19" t="n">
        <f aca="false">IF(B30&lt;=0,0,F30-G30)</f>
        <v>527.538212362655</v>
      </c>
      <c r="I30" s="19" t="n">
        <f aca="false">IF(B30&lt;=0,0,MAX(0,B30-C30-H30))</f>
        <v>14908.56976382</v>
      </c>
      <c r="J30" s="19" t="n">
        <f aca="false">J29+G30</f>
        <v>1480.92976382005</v>
      </c>
    </row>
    <row r="31" customFormat="false" ht="15" hidden="false" customHeight="false" outlineLevel="0" collapsed="false">
      <c r="A31" s="21" t="n">
        <v>30</v>
      </c>
      <c r="B31" s="22" t="n">
        <f aca="false">MAX(0,I30)</f>
        <v>14908.56976382</v>
      </c>
      <c r="C31" s="22" t="n">
        <f aca="false">IF(B31&lt;=0,0,IF(A31='Loan Calculator'!B12,MIN('Loan Calculator'!B11,B31),0)+IF(A31='Loan Calculator'!B14,MIN('Loan Calculator'!B13,B31),0))</f>
        <v>0</v>
      </c>
      <c r="D31" s="22" t="n">
        <f aca="false">IF(B31&lt;=0,0,'Loan Calculator'!B4)</f>
        <v>365.72</v>
      </c>
      <c r="E31" s="22" t="n">
        <f aca="false">IF(B31&lt;=0,0,IF(A31&gt;='Loan Calculator'!B18,'Loan Calculator'!B17,0)+IF(A31&gt;='Loan Calculator'!B20,'Loan Calculator'!B19,0)+IF(A31&gt;='Loan Calculator'!B22,'Loan Calculator'!B21,0))</f>
        <v>197.44</v>
      </c>
      <c r="F31" s="22" t="n">
        <f aca="false">IF(B31&lt;=0,0,MIN(D31+E31,(B31-C31)*(1+'Loan Calculator'!B7)))</f>
        <v>563.16</v>
      </c>
      <c r="G31" s="22" t="n">
        <f aca="false">IF(B31&lt;=0,0,MAX(0,(B31-C31)*'Loan Calculator'!B7))</f>
        <v>34.4043917626616</v>
      </c>
      <c r="H31" s="22" t="n">
        <f aca="false">IF(B31&lt;=0,0,F31-G31)</f>
        <v>528.755608237339</v>
      </c>
      <c r="I31" s="22" t="n">
        <f aca="false">IF(B31&lt;=0,0,MAX(0,B31-C31-H31))</f>
        <v>14379.8141555827</v>
      </c>
      <c r="J31" s="22" t="n">
        <f aca="false">J30+G31</f>
        <v>1515.33415558271</v>
      </c>
    </row>
    <row r="32" customFormat="false" ht="15" hidden="false" customHeight="false" outlineLevel="0" collapsed="false">
      <c r="A32" s="18" t="n">
        <v>31</v>
      </c>
      <c r="B32" s="19" t="n">
        <f aca="false">MAX(0,I31)</f>
        <v>14379.8141555827</v>
      </c>
      <c r="C32" s="19" t="n">
        <f aca="false">IF(B32&lt;=0,0,IF(A32='Loan Calculator'!B12,MIN('Loan Calculator'!B11,B32),0)+IF(A32='Loan Calculator'!B14,MIN('Loan Calculator'!B13,B32),0))</f>
        <v>0</v>
      </c>
      <c r="D32" s="19" t="n">
        <f aca="false">IF(B32&lt;=0,0,'Loan Calculator'!B4)</f>
        <v>365.72</v>
      </c>
      <c r="E32" s="19" t="n">
        <f aca="false">IF(B32&lt;=0,0,IF(A32&gt;='Loan Calculator'!B18,'Loan Calculator'!B17,0)+IF(A32&gt;='Loan Calculator'!B20,'Loan Calculator'!B19,0)+IF(A32&gt;='Loan Calculator'!B22,'Loan Calculator'!B21,0))</f>
        <v>197.44</v>
      </c>
      <c r="F32" s="19" t="n">
        <f aca="false">IF(B32&lt;=0,0,MIN(D32+E32,(B32-C32)*(1+'Loan Calculator'!B7)))</f>
        <v>563.16</v>
      </c>
      <c r="G32" s="19" t="n">
        <f aca="false">IF(B32&lt;=0,0,MAX(0,(B32-C32)*'Loan Calculator'!B7))</f>
        <v>33.1841865128832</v>
      </c>
      <c r="H32" s="19" t="n">
        <f aca="false">IF(B32&lt;=0,0,F32-G32)</f>
        <v>529.975813487117</v>
      </c>
      <c r="I32" s="19" t="n">
        <f aca="false">IF(B32&lt;=0,0,MAX(0,B32-C32-H32))</f>
        <v>13849.8383420956</v>
      </c>
      <c r="J32" s="19" t="n">
        <f aca="false">J31+G32</f>
        <v>1548.5183420956</v>
      </c>
    </row>
    <row r="33" customFormat="false" ht="15" hidden="false" customHeight="false" outlineLevel="0" collapsed="false">
      <c r="A33" s="21" t="n">
        <v>32</v>
      </c>
      <c r="B33" s="22" t="n">
        <f aca="false">MAX(0,I32)</f>
        <v>13849.8383420956</v>
      </c>
      <c r="C33" s="22" t="n">
        <f aca="false">IF(B33&lt;=0,0,IF(A33='Loan Calculator'!B12,MIN('Loan Calculator'!B11,B33),0)+IF(A33='Loan Calculator'!B14,MIN('Loan Calculator'!B13,B33),0))</f>
        <v>0</v>
      </c>
      <c r="D33" s="22" t="n">
        <f aca="false">IF(B33&lt;=0,0,'Loan Calculator'!B4)</f>
        <v>365.72</v>
      </c>
      <c r="E33" s="22" t="n">
        <f aca="false">IF(B33&lt;=0,0,IF(A33&gt;='Loan Calculator'!B18,'Loan Calculator'!B17,0)+IF(A33&gt;='Loan Calculator'!B20,'Loan Calculator'!B19,0)+IF(A33&gt;='Loan Calculator'!B22,'Loan Calculator'!B21,0))</f>
        <v>197.44</v>
      </c>
      <c r="F33" s="22" t="n">
        <f aca="false">IF(B33&lt;=0,0,MIN(D33+E33,(B33-C33)*(1+'Loan Calculator'!B7)))</f>
        <v>563.16</v>
      </c>
      <c r="G33" s="22" t="n">
        <f aca="false">IF(B33&lt;=0,0,MAX(0,(B33-C33)*'Loan Calculator'!B7))</f>
        <v>31.961165404836</v>
      </c>
      <c r="H33" s="22" t="n">
        <f aca="false">IF(B33&lt;=0,0,F33-G33)</f>
        <v>531.198834595164</v>
      </c>
      <c r="I33" s="22" t="n">
        <f aca="false">IF(B33&lt;=0,0,MAX(0,B33-C33-H33))</f>
        <v>13318.6395075004</v>
      </c>
      <c r="J33" s="22" t="n">
        <f aca="false">J32+G33</f>
        <v>1580.47950750043</v>
      </c>
    </row>
    <row r="34" customFormat="false" ht="15" hidden="false" customHeight="false" outlineLevel="0" collapsed="false">
      <c r="A34" s="18" t="n">
        <v>33</v>
      </c>
      <c r="B34" s="19" t="n">
        <f aca="false">MAX(0,I33)</f>
        <v>13318.6395075004</v>
      </c>
      <c r="C34" s="19" t="n">
        <f aca="false">IF(B34&lt;=0,0,IF(A34='Loan Calculator'!B12,MIN('Loan Calculator'!B11,B34),0)+IF(A34='Loan Calculator'!B14,MIN('Loan Calculator'!B13,B34),0))</f>
        <v>0</v>
      </c>
      <c r="D34" s="19" t="n">
        <f aca="false">IF(B34&lt;=0,0,'Loan Calculator'!B4)</f>
        <v>365.72</v>
      </c>
      <c r="E34" s="19" t="n">
        <f aca="false">IF(B34&lt;=0,0,IF(A34&gt;='Loan Calculator'!B18,'Loan Calculator'!B17,0)+IF(A34&gt;='Loan Calculator'!B20,'Loan Calculator'!B19,0)+IF(A34&gt;='Loan Calculator'!B22,'Loan Calculator'!B21,0))</f>
        <v>197.44</v>
      </c>
      <c r="F34" s="19" t="n">
        <f aca="false">IF(B34&lt;=0,0,MIN(D34+E34,(B34-C34)*(1+'Loan Calculator'!B7)))</f>
        <v>563.16</v>
      </c>
      <c r="G34" s="19" t="n">
        <f aca="false">IF(B34&lt;=0,0,MAX(0,(B34-C34)*'Loan Calculator'!B7))</f>
        <v>30.7353219403856</v>
      </c>
      <c r="H34" s="19" t="n">
        <f aca="false">IF(B34&lt;=0,0,F34-G34)</f>
        <v>532.424678059615</v>
      </c>
      <c r="I34" s="19" t="n">
        <f aca="false">IF(B34&lt;=0,0,MAX(0,B34-C34-H34))</f>
        <v>12786.2148294408</v>
      </c>
      <c r="J34" s="19" t="n">
        <f aca="false">J33+G34</f>
        <v>1611.21482944082</v>
      </c>
    </row>
    <row r="35" customFormat="false" ht="15" hidden="false" customHeight="false" outlineLevel="0" collapsed="false">
      <c r="A35" s="21" t="n">
        <v>34</v>
      </c>
      <c r="B35" s="22" t="n">
        <f aca="false">MAX(0,I34)</f>
        <v>12786.2148294408</v>
      </c>
      <c r="C35" s="22" t="n">
        <f aca="false">IF(B35&lt;=0,0,IF(A35='Loan Calculator'!B12,MIN('Loan Calculator'!B11,B35),0)+IF(A35='Loan Calculator'!B14,MIN('Loan Calculator'!B13,B35),0))</f>
        <v>0</v>
      </c>
      <c r="D35" s="22" t="n">
        <f aca="false">IF(B35&lt;=0,0,'Loan Calculator'!B4)</f>
        <v>365.72</v>
      </c>
      <c r="E35" s="22" t="n">
        <f aca="false">IF(B35&lt;=0,0,IF(A35&gt;='Loan Calculator'!B18,'Loan Calculator'!B17,0)+IF(A35&gt;='Loan Calculator'!B20,'Loan Calculator'!B19,0)+IF(A35&gt;='Loan Calculator'!B22,'Loan Calculator'!B21,0))</f>
        <v>197.44</v>
      </c>
      <c r="F35" s="22" t="n">
        <f aca="false">IF(B35&lt;=0,0,MIN(D35+E35,(B35-C35)*(1+'Loan Calculator'!B7)))</f>
        <v>563.16</v>
      </c>
      <c r="G35" s="22" t="n">
        <f aca="false">IF(B35&lt;=0,0,MAX(0,(B35-C35)*'Loan Calculator'!B7))</f>
        <v>29.5066496064019</v>
      </c>
      <c r="H35" s="22" t="n">
        <f aca="false">IF(B35&lt;=0,0,F35-G35)</f>
        <v>533.653350393598</v>
      </c>
      <c r="I35" s="22" t="n">
        <f aca="false">IF(B35&lt;=0,0,MAX(0,B35-C35-H35))</f>
        <v>12252.5614790472</v>
      </c>
      <c r="J35" s="22" t="n">
        <f aca="false">J34+G35</f>
        <v>1640.72147904722</v>
      </c>
    </row>
    <row r="36" customFormat="false" ht="15" hidden="false" customHeight="false" outlineLevel="0" collapsed="false">
      <c r="A36" s="18" t="n">
        <v>35</v>
      </c>
      <c r="B36" s="19" t="n">
        <f aca="false">MAX(0,I35)</f>
        <v>12252.5614790472</v>
      </c>
      <c r="C36" s="19" t="n">
        <f aca="false">IF(B36&lt;=0,0,IF(A36='Loan Calculator'!B12,MIN('Loan Calculator'!B11,B36),0)+IF(A36='Loan Calculator'!B14,MIN('Loan Calculator'!B13,B36),0))</f>
        <v>0</v>
      </c>
      <c r="D36" s="19" t="n">
        <f aca="false">IF(B36&lt;=0,0,'Loan Calculator'!B4)</f>
        <v>365.72</v>
      </c>
      <c r="E36" s="19" t="n">
        <f aca="false">IF(B36&lt;=0,0,IF(A36&gt;='Loan Calculator'!B18,'Loan Calculator'!B17,0)+IF(A36&gt;='Loan Calculator'!B20,'Loan Calculator'!B19,0)+IF(A36&gt;='Loan Calculator'!B22,'Loan Calculator'!B21,0))</f>
        <v>197.44</v>
      </c>
      <c r="F36" s="19" t="n">
        <f aca="false">IF(B36&lt;=0,0,MIN(D36+E36,(B36-C36)*(1+'Loan Calculator'!B7)))</f>
        <v>563.16</v>
      </c>
      <c r="G36" s="19" t="n">
        <f aca="false">IF(B36&lt;=0,0,MAX(0,(B36-C36)*'Loan Calculator'!B7))</f>
        <v>28.2751418747243</v>
      </c>
      <c r="H36" s="19" t="n">
        <f aca="false">IF(B36&lt;=0,0,F36-G36)</f>
        <v>534.884858125276</v>
      </c>
      <c r="I36" s="19" t="n">
        <f aca="false">IF(B36&lt;=0,0,MAX(0,B36-C36-H36))</f>
        <v>11717.6766209219</v>
      </c>
      <c r="J36" s="19" t="n">
        <f aca="false">J35+G36</f>
        <v>1668.99662092194</v>
      </c>
    </row>
    <row r="37" customFormat="false" ht="15" hidden="false" customHeight="false" outlineLevel="0" collapsed="false">
      <c r="A37" s="21" t="n">
        <v>36</v>
      </c>
      <c r="B37" s="22" t="n">
        <f aca="false">MAX(0,I36)</f>
        <v>11717.6766209219</v>
      </c>
      <c r="C37" s="22" t="n">
        <f aca="false">IF(B37&lt;=0,0,IF(A37='Loan Calculator'!B12,MIN('Loan Calculator'!B11,B37),0)+IF(A37='Loan Calculator'!B14,MIN('Loan Calculator'!B13,B37),0))</f>
        <v>0</v>
      </c>
      <c r="D37" s="22" t="n">
        <f aca="false">IF(B37&lt;=0,0,'Loan Calculator'!B4)</f>
        <v>365.72</v>
      </c>
      <c r="E37" s="22" t="n">
        <f aca="false">IF(B37&lt;=0,0,IF(A37&gt;='Loan Calculator'!B18,'Loan Calculator'!B17,0)+IF(A37&gt;='Loan Calculator'!B20,'Loan Calculator'!B19,0)+IF(A37&gt;='Loan Calculator'!B22,'Loan Calculator'!B21,0))</f>
        <v>197.44</v>
      </c>
      <c r="F37" s="22" t="n">
        <f aca="false">IF(B37&lt;=0,0,MIN(D37+E37,(B37-C37)*(1+'Loan Calculator'!B7)))</f>
        <v>563.16</v>
      </c>
      <c r="G37" s="22" t="n">
        <f aca="false">IF(B37&lt;=0,0,MAX(0,(B37-C37)*'Loan Calculator'!B7))</f>
        <v>27.0407922021275</v>
      </c>
      <c r="H37" s="22" t="n">
        <f aca="false">IF(B37&lt;=0,0,F37-G37)</f>
        <v>536.119207797873</v>
      </c>
      <c r="I37" s="22" t="n">
        <f aca="false">IF(B37&lt;=0,0,MAX(0,B37-C37-H37))</f>
        <v>11181.5574131241</v>
      </c>
      <c r="J37" s="22" t="n">
        <f aca="false">J36+G37</f>
        <v>1696.03741312407</v>
      </c>
    </row>
    <row r="38" customFormat="false" ht="15" hidden="false" customHeight="false" outlineLevel="0" collapsed="false">
      <c r="A38" s="18" t="n">
        <v>37</v>
      </c>
      <c r="B38" s="19" t="n">
        <f aca="false">MAX(0,I37)</f>
        <v>11181.5574131241</v>
      </c>
      <c r="C38" s="19" t="n">
        <f aca="false">IF(B38&lt;=0,0,IF(A38='Loan Calculator'!B12,MIN('Loan Calculator'!B11,B38),0)+IF(A38='Loan Calculator'!B14,MIN('Loan Calculator'!B13,B38),0))</f>
        <v>0</v>
      </c>
      <c r="D38" s="19" t="n">
        <f aca="false">IF(B38&lt;=0,0,'Loan Calculator'!B4)</f>
        <v>365.72</v>
      </c>
      <c r="E38" s="19" t="n">
        <f aca="false">IF(B38&lt;=0,0,IF(A38&gt;='Loan Calculator'!B18,'Loan Calculator'!B17,0)+IF(A38&gt;='Loan Calculator'!B20,'Loan Calculator'!B19,0)+IF(A38&gt;='Loan Calculator'!B22,'Loan Calculator'!B21,0))</f>
        <v>197.44</v>
      </c>
      <c r="F38" s="19" t="n">
        <f aca="false">IF(B38&lt;=0,0,MIN(D38+E38,(B38-C38)*(1+'Loan Calculator'!B7)))</f>
        <v>563.16</v>
      </c>
      <c r="G38" s="19" t="n">
        <f aca="false">IF(B38&lt;=0,0,MAX(0,(B38-C38)*'Loan Calculator'!B7))</f>
        <v>25.8035940302863</v>
      </c>
      <c r="H38" s="19" t="n">
        <f aca="false">IF(B38&lt;=0,0,F38-G38)</f>
        <v>537.356405969714</v>
      </c>
      <c r="I38" s="19" t="n">
        <f aca="false">IF(B38&lt;=0,0,MAX(0,B38-C38-H38))</f>
        <v>10644.2010071543</v>
      </c>
      <c r="J38" s="19" t="n">
        <f aca="false">J37+G38</f>
        <v>1721.84100715436</v>
      </c>
    </row>
    <row r="39" customFormat="false" ht="15" hidden="false" customHeight="false" outlineLevel="0" collapsed="false">
      <c r="A39" s="21" t="n">
        <v>38</v>
      </c>
      <c r="B39" s="22" t="n">
        <f aca="false">MAX(0,I38)</f>
        <v>10644.2010071543</v>
      </c>
      <c r="C39" s="22" t="n">
        <f aca="false">IF(B39&lt;=0,0,IF(A39='Loan Calculator'!B12,MIN('Loan Calculator'!B11,B39),0)+IF(A39='Loan Calculator'!B14,MIN('Loan Calculator'!B13,B39),0))</f>
        <v>0</v>
      </c>
      <c r="D39" s="22" t="n">
        <f aca="false">IF(B39&lt;=0,0,'Loan Calculator'!B4)</f>
        <v>365.72</v>
      </c>
      <c r="E39" s="22" t="n">
        <f aca="false">IF(B39&lt;=0,0,IF(A39&gt;='Loan Calculator'!B18,'Loan Calculator'!B17,0)+IF(A39&gt;='Loan Calculator'!B20,'Loan Calculator'!B19,0)+IF(A39&gt;='Loan Calculator'!B22,'Loan Calculator'!B21,0))</f>
        <v>197.44</v>
      </c>
      <c r="F39" s="22" t="n">
        <f aca="false">IF(B39&lt;=0,0,MIN(D39+E39,(B39-C39)*(1+'Loan Calculator'!B7)))</f>
        <v>563.16</v>
      </c>
      <c r="G39" s="22" t="n">
        <f aca="false">IF(B39&lt;=0,0,MAX(0,(B39-C39)*'Loan Calculator'!B7))</f>
        <v>24.5635407857408</v>
      </c>
      <c r="H39" s="22" t="n">
        <f aca="false">IF(B39&lt;=0,0,F39-G39)</f>
        <v>538.596459214259</v>
      </c>
      <c r="I39" s="22" t="n">
        <f aca="false">IF(B39&lt;=0,0,MAX(0,B39-C39-H39))</f>
        <v>10105.6045479401</v>
      </c>
      <c r="J39" s="22" t="n">
        <f aca="false">J38+G39</f>
        <v>1746.4045479401</v>
      </c>
    </row>
    <row r="40" customFormat="false" ht="15" hidden="false" customHeight="false" outlineLevel="0" collapsed="false">
      <c r="A40" s="18" t="n">
        <v>39</v>
      </c>
      <c r="B40" s="19" t="n">
        <f aca="false">MAX(0,I39)</f>
        <v>10105.6045479401</v>
      </c>
      <c r="C40" s="19" t="n">
        <f aca="false">IF(B40&lt;=0,0,IF(A40='Loan Calculator'!B12,MIN('Loan Calculator'!B11,B40),0)+IF(A40='Loan Calculator'!B14,MIN('Loan Calculator'!B13,B40),0))</f>
        <v>0</v>
      </c>
      <c r="D40" s="19" t="n">
        <f aca="false">IF(B40&lt;=0,0,'Loan Calculator'!B4)</f>
        <v>365.72</v>
      </c>
      <c r="E40" s="19" t="n">
        <f aca="false">IF(B40&lt;=0,0,IF(A40&gt;='Loan Calculator'!B18,'Loan Calculator'!B17,0)+IF(A40&gt;='Loan Calculator'!B20,'Loan Calculator'!B19,0)+IF(A40&gt;='Loan Calculator'!B22,'Loan Calculator'!B21,0))</f>
        <v>197.44</v>
      </c>
      <c r="F40" s="19" t="n">
        <f aca="false">IF(B40&lt;=0,0,MIN(D40+E40,(B40-C40)*(1+'Loan Calculator'!B7)))</f>
        <v>563.16</v>
      </c>
      <c r="G40" s="19" t="n">
        <f aca="false">IF(B40&lt;=0,0,MAX(0,(B40-C40)*'Loan Calculator'!B7))</f>
        <v>23.3206258798617</v>
      </c>
      <c r="H40" s="19" t="n">
        <f aca="false">IF(B40&lt;=0,0,F40-G40)</f>
        <v>539.839374120138</v>
      </c>
      <c r="I40" s="19" t="n">
        <f aca="false">IF(B40&lt;=0,0,MAX(0,B40-C40-H40))</f>
        <v>9565.76517381995</v>
      </c>
      <c r="J40" s="19" t="n">
        <f aca="false">J39+G40</f>
        <v>1769.72517381996</v>
      </c>
    </row>
    <row r="41" customFormat="false" ht="15" hidden="false" customHeight="false" outlineLevel="0" collapsed="false">
      <c r="A41" s="21" t="n">
        <v>40</v>
      </c>
      <c r="B41" s="22" t="n">
        <f aca="false">MAX(0,I40)</f>
        <v>9565.76517381995</v>
      </c>
      <c r="C41" s="22" t="n">
        <f aca="false">IF(B41&lt;=0,0,IF(A41='Loan Calculator'!B12,MIN('Loan Calculator'!B11,B41),0)+IF(A41='Loan Calculator'!B14,MIN('Loan Calculator'!B13,B41),0))</f>
        <v>0</v>
      </c>
      <c r="D41" s="22" t="n">
        <f aca="false">IF(B41&lt;=0,0,'Loan Calculator'!B4)</f>
        <v>365.72</v>
      </c>
      <c r="E41" s="22" t="n">
        <f aca="false">IF(B41&lt;=0,0,IF(A41&gt;='Loan Calculator'!B18,'Loan Calculator'!B17,0)+IF(A41&gt;='Loan Calculator'!B20,'Loan Calculator'!B19,0)+IF(A41&gt;='Loan Calculator'!B22,'Loan Calculator'!B21,0))</f>
        <v>197.44</v>
      </c>
      <c r="F41" s="22" t="n">
        <f aca="false">IF(B41&lt;=0,0,MIN(D41+E41,(B41-C41)*(1+'Loan Calculator'!B7)))</f>
        <v>563.16</v>
      </c>
      <c r="G41" s="22" t="n">
        <f aca="false">IF(B41&lt;=0,0,MAX(0,(B41-C41)*'Loan Calculator'!B7))</f>
        <v>22.0748427088153</v>
      </c>
      <c r="H41" s="22" t="n">
        <f aca="false">IF(B41&lt;=0,0,F41-G41)</f>
        <v>541.085157291185</v>
      </c>
      <c r="I41" s="22" t="n">
        <f aca="false">IF(B41&lt;=0,0,MAX(0,B41-C41-H41))</f>
        <v>9024.68001652877</v>
      </c>
      <c r="J41" s="22" t="n">
        <f aca="false">J40+G41</f>
        <v>1791.80001652878</v>
      </c>
    </row>
    <row r="42" customFormat="false" ht="15" hidden="false" customHeight="false" outlineLevel="0" collapsed="false">
      <c r="A42" s="18" t="n">
        <v>41</v>
      </c>
      <c r="B42" s="19" t="n">
        <f aca="false">MAX(0,I41)</f>
        <v>9024.68001652877</v>
      </c>
      <c r="C42" s="19" t="n">
        <f aca="false">IF(B42&lt;=0,0,IF(A42='Loan Calculator'!B12,MIN('Loan Calculator'!B11,B42),0)+IF(A42='Loan Calculator'!B14,MIN('Loan Calculator'!B13,B42),0))</f>
        <v>0</v>
      </c>
      <c r="D42" s="19" t="n">
        <f aca="false">IF(B42&lt;=0,0,'Loan Calculator'!B4)</f>
        <v>365.72</v>
      </c>
      <c r="E42" s="19" t="n">
        <f aca="false">IF(B42&lt;=0,0,IF(A42&gt;='Loan Calculator'!B18,'Loan Calculator'!B17,0)+IF(A42&gt;='Loan Calculator'!B20,'Loan Calculator'!B19,0)+IF(A42&gt;='Loan Calculator'!B22,'Loan Calculator'!B21,0))</f>
        <v>197.44</v>
      </c>
      <c r="F42" s="19" t="n">
        <f aca="false">IF(B42&lt;=0,0,MIN(D42+E42,(B42-C42)*(1+'Loan Calculator'!B7)))</f>
        <v>563.16</v>
      </c>
      <c r="G42" s="19" t="n">
        <f aca="false">IF(B42&lt;=0,0,MAX(0,(B42-C42)*'Loan Calculator'!B7))</f>
        <v>20.8261846535279</v>
      </c>
      <c r="H42" s="19" t="n">
        <f aca="false">IF(B42&lt;=0,0,F42-G42)</f>
        <v>542.333815346472</v>
      </c>
      <c r="I42" s="19" t="n">
        <f aca="false">IF(B42&lt;=0,0,MAX(0,B42-C42-H42))</f>
        <v>8482.34620118229</v>
      </c>
      <c r="J42" s="19" t="n">
        <f aca="false">J41+G42</f>
        <v>1812.6262011823</v>
      </c>
    </row>
    <row r="43" customFormat="false" ht="15" hidden="false" customHeight="false" outlineLevel="0" collapsed="false">
      <c r="A43" s="21" t="n">
        <v>42</v>
      </c>
      <c r="B43" s="22" t="n">
        <f aca="false">MAX(0,I42)</f>
        <v>8482.34620118229</v>
      </c>
      <c r="C43" s="22" t="n">
        <f aca="false">IF(B43&lt;=0,0,IF(A43='Loan Calculator'!B12,MIN('Loan Calculator'!B11,B43),0)+IF(A43='Loan Calculator'!B14,MIN('Loan Calculator'!B13,B43),0))</f>
        <v>0</v>
      </c>
      <c r="D43" s="22" t="n">
        <f aca="false">IF(B43&lt;=0,0,'Loan Calculator'!B4)</f>
        <v>365.72</v>
      </c>
      <c r="E43" s="22" t="n">
        <f aca="false">IF(B43&lt;=0,0,IF(A43&gt;='Loan Calculator'!B18,'Loan Calculator'!B17,0)+IF(A43&gt;='Loan Calculator'!B20,'Loan Calculator'!B19,0)+IF(A43&gt;='Loan Calculator'!B22,'Loan Calculator'!B21,0))</f>
        <v>197.44</v>
      </c>
      <c r="F43" s="22" t="n">
        <f aca="false">IF(B43&lt;=0,0,MIN(D43+E43,(B43-C43)*(1+'Loan Calculator'!B7)))</f>
        <v>563.16</v>
      </c>
      <c r="G43" s="22" t="n">
        <f aca="false">IF(B43&lt;=0,0,MAX(0,(B43-C43)*'Loan Calculator'!B7))</f>
        <v>19.5746450796514</v>
      </c>
      <c r="H43" s="22" t="n">
        <f aca="false">IF(B43&lt;=0,0,F43-G43)</f>
        <v>543.585354920349</v>
      </c>
      <c r="I43" s="22" t="n">
        <f aca="false">IF(B43&lt;=0,0,MAX(0,B43-C43-H43))</f>
        <v>7938.76084626195</v>
      </c>
      <c r="J43" s="22" t="n">
        <f aca="false">J42+G43</f>
        <v>1832.20084626196</v>
      </c>
    </row>
    <row r="44" customFormat="false" ht="15" hidden="false" customHeight="false" outlineLevel="0" collapsed="false">
      <c r="A44" s="18" t="n">
        <v>43</v>
      </c>
      <c r="B44" s="19" t="n">
        <f aca="false">MAX(0,I43)</f>
        <v>7938.76084626195</v>
      </c>
      <c r="C44" s="19" t="n">
        <f aca="false">IF(B44&lt;=0,0,IF(A44='Loan Calculator'!B12,MIN('Loan Calculator'!B11,B44),0)+IF(A44='Loan Calculator'!B14,MIN('Loan Calculator'!B13,B44),0))</f>
        <v>0</v>
      </c>
      <c r="D44" s="19" t="n">
        <f aca="false">IF(B44&lt;=0,0,'Loan Calculator'!B4)</f>
        <v>365.72</v>
      </c>
      <c r="E44" s="19" t="n">
        <f aca="false">IF(B44&lt;=0,0,IF(A44&gt;='Loan Calculator'!B18,'Loan Calculator'!B17,0)+IF(A44&gt;='Loan Calculator'!B20,'Loan Calculator'!B19,0)+IF(A44&gt;='Loan Calculator'!B22,'Loan Calculator'!B21,0))</f>
        <v>197.44</v>
      </c>
      <c r="F44" s="19" t="n">
        <f aca="false">IF(B44&lt;=0,0,MIN(D44+E44,(B44-C44)*(1+'Loan Calculator'!B7)))</f>
        <v>563.16</v>
      </c>
      <c r="G44" s="19" t="n">
        <f aca="false">IF(B44&lt;=0,0,MAX(0,(B44-C44)*'Loan Calculator'!B7))</f>
        <v>18.3202173375276</v>
      </c>
      <c r="H44" s="19" t="n">
        <f aca="false">IF(B44&lt;=0,0,F44-G44)</f>
        <v>544.839782662473</v>
      </c>
      <c r="I44" s="19" t="n">
        <f aca="false">IF(B44&lt;=0,0,MAX(0,B44-C44-H44))</f>
        <v>7393.92106359947</v>
      </c>
      <c r="J44" s="19" t="n">
        <f aca="false">J43+G44</f>
        <v>1850.52106359948</v>
      </c>
    </row>
    <row r="45" customFormat="false" ht="15" hidden="false" customHeight="false" outlineLevel="0" collapsed="false">
      <c r="A45" s="21" t="n">
        <v>44</v>
      </c>
      <c r="B45" s="22" t="n">
        <f aca="false">MAX(0,I44)</f>
        <v>7393.92106359947</v>
      </c>
      <c r="C45" s="22" t="n">
        <f aca="false">IF(B45&lt;=0,0,IF(A45='Loan Calculator'!B12,MIN('Loan Calculator'!B11,B45),0)+IF(A45='Loan Calculator'!B14,MIN('Loan Calculator'!B13,B45),0))</f>
        <v>0</v>
      </c>
      <c r="D45" s="22" t="n">
        <f aca="false">IF(B45&lt;=0,0,'Loan Calculator'!B4)</f>
        <v>365.72</v>
      </c>
      <c r="E45" s="22" t="n">
        <f aca="false">IF(B45&lt;=0,0,IF(A45&gt;='Loan Calculator'!B18,'Loan Calculator'!B17,0)+IF(A45&gt;='Loan Calculator'!B20,'Loan Calculator'!B19,0)+IF(A45&gt;='Loan Calculator'!B22,'Loan Calculator'!B21,0))</f>
        <v>197.44</v>
      </c>
      <c r="F45" s="22" t="n">
        <f aca="false">IF(B45&lt;=0,0,MIN(D45+E45,(B45-C45)*(1+'Loan Calculator'!B7)))</f>
        <v>563.16</v>
      </c>
      <c r="G45" s="22" t="n">
        <f aca="false">IF(B45&lt;=0,0,MAX(0,(B45-C45)*'Loan Calculator'!B7))</f>
        <v>17.0628947621526</v>
      </c>
      <c r="H45" s="22" t="n">
        <f aca="false">IF(B45&lt;=0,0,F45-G45)</f>
        <v>546.097105237848</v>
      </c>
      <c r="I45" s="22" t="n">
        <f aca="false">IF(B45&lt;=0,0,MAX(0,B45-C45-H45))</f>
        <v>6847.82395836163</v>
      </c>
      <c r="J45" s="22" t="n">
        <f aca="false">J44+G45</f>
        <v>1867.58395836164</v>
      </c>
    </row>
    <row r="46" customFormat="false" ht="15" hidden="false" customHeight="false" outlineLevel="0" collapsed="false">
      <c r="A46" s="18" t="n">
        <v>45</v>
      </c>
      <c r="B46" s="19" t="n">
        <f aca="false">MAX(0,I45)</f>
        <v>6847.82395836163</v>
      </c>
      <c r="C46" s="19" t="n">
        <f aca="false">IF(B46&lt;=0,0,IF(A46='Loan Calculator'!B12,MIN('Loan Calculator'!B11,B46),0)+IF(A46='Loan Calculator'!B14,MIN('Loan Calculator'!B13,B46),0))</f>
        <v>0</v>
      </c>
      <c r="D46" s="19" t="n">
        <f aca="false">IF(B46&lt;=0,0,'Loan Calculator'!B4)</f>
        <v>365.72</v>
      </c>
      <c r="E46" s="19" t="n">
        <f aca="false">IF(B46&lt;=0,0,IF(A46&gt;='Loan Calculator'!B18,'Loan Calculator'!B17,0)+IF(A46&gt;='Loan Calculator'!B20,'Loan Calculator'!B19,0)+IF(A46&gt;='Loan Calculator'!B22,'Loan Calculator'!B21,0))</f>
        <v>197.44</v>
      </c>
      <c r="F46" s="19" t="n">
        <f aca="false">IF(B46&lt;=0,0,MIN(D46+E46,(B46-C46)*(1+'Loan Calculator'!B7)))</f>
        <v>563.16</v>
      </c>
      <c r="G46" s="19" t="n">
        <f aca="false">IF(B46&lt;=0,0,MAX(0,(B46-C46)*'Loan Calculator'!B7))</f>
        <v>15.8026706731422</v>
      </c>
      <c r="H46" s="19" t="n">
        <f aca="false">IF(B46&lt;=0,0,F46-G46)</f>
        <v>547.357329326858</v>
      </c>
      <c r="I46" s="19" t="n">
        <f aca="false">IF(B46&lt;=0,0,MAX(0,B46-C46-H46))</f>
        <v>6300.46662903477</v>
      </c>
      <c r="J46" s="19" t="n">
        <f aca="false">J45+G46</f>
        <v>1883.38662903478</v>
      </c>
    </row>
    <row r="47" customFormat="false" ht="15" hidden="false" customHeight="false" outlineLevel="0" collapsed="false">
      <c r="A47" s="21" t="n">
        <v>46</v>
      </c>
      <c r="B47" s="22" t="n">
        <f aca="false">MAX(0,I46)</f>
        <v>6300.46662903477</v>
      </c>
      <c r="C47" s="22" t="n">
        <f aca="false">IF(B47&lt;=0,0,IF(A47='Loan Calculator'!B12,MIN('Loan Calculator'!B11,B47),0)+IF(A47='Loan Calculator'!B14,MIN('Loan Calculator'!B13,B47),0))</f>
        <v>0</v>
      </c>
      <c r="D47" s="22" t="n">
        <f aca="false">IF(B47&lt;=0,0,'Loan Calculator'!B4)</f>
        <v>365.72</v>
      </c>
      <c r="E47" s="22" t="n">
        <f aca="false">IF(B47&lt;=0,0,IF(A47&gt;='Loan Calculator'!B18,'Loan Calculator'!B17,0)+IF(A47&gt;='Loan Calculator'!B20,'Loan Calculator'!B19,0)+IF(A47&gt;='Loan Calculator'!B22,'Loan Calculator'!B21,0))</f>
        <v>197.44</v>
      </c>
      <c r="F47" s="22" t="n">
        <f aca="false">IF(B47&lt;=0,0,MIN(D47+E47,(B47-C47)*(1+'Loan Calculator'!B7)))</f>
        <v>563.16</v>
      </c>
      <c r="G47" s="22" t="n">
        <f aca="false">IF(B47&lt;=0,0,MAX(0,(B47-C47)*'Loan Calculator'!B7))</f>
        <v>14.5395383746956</v>
      </c>
      <c r="H47" s="22" t="n">
        <f aca="false">IF(B47&lt;=0,0,F47-G47)</f>
        <v>548.620461625304</v>
      </c>
      <c r="I47" s="22" t="n">
        <f aca="false">IF(B47&lt;=0,0,MAX(0,B47-C47-H47))</f>
        <v>5751.84616740946</v>
      </c>
      <c r="J47" s="22" t="n">
        <f aca="false">J46+G47</f>
        <v>1897.92616740947</v>
      </c>
    </row>
    <row r="48" customFormat="false" ht="15" hidden="false" customHeight="false" outlineLevel="0" collapsed="false">
      <c r="A48" s="18" t="n">
        <v>47</v>
      </c>
      <c r="B48" s="19" t="n">
        <f aca="false">MAX(0,I47)</f>
        <v>5751.84616740946</v>
      </c>
      <c r="C48" s="19" t="n">
        <f aca="false">IF(B48&lt;=0,0,IF(A48='Loan Calculator'!B12,MIN('Loan Calculator'!B11,B48),0)+IF(A48='Loan Calculator'!B14,MIN('Loan Calculator'!B13,B48),0))</f>
        <v>0</v>
      </c>
      <c r="D48" s="19" t="n">
        <f aca="false">IF(B48&lt;=0,0,'Loan Calculator'!B4)</f>
        <v>365.72</v>
      </c>
      <c r="E48" s="19" t="n">
        <f aca="false">IF(B48&lt;=0,0,IF(A48&gt;='Loan Calculator'!B18,'Loan Calculator'!B17,0)+IF(A48&gt;='Loan Calculator'!B20,'Loan Calculator'!B19,0)+IF(A48&gt;='Loan Calculator'!B22,'Loan Calculator'!B21,0))</f>
        <v>197.44</v>
      </c>
      <c r="F48" s="19" t="n">
        <f aca="false">IF(B48&lt;=0,0,MIN(D48+E48,(B48-C48)*(1+'Loan Calculator'!B7)))</f>
        <v>563.16</v>
      </c>
      <c r="G48" s="19" t="n">
        <f aca="false">IF(B48&lt;=0,0,MAX(0,(B48-C48)*'Loan Calculator'!B7))</f>
        <v>13.2734911555603</v>
      </c>
      <c r="H48" s="19" t="n">
        <f aca="false">IF(B48&lt;=0,0,F48-G48)</f>
        <v>549.88650884444</v>
      </c>
      <c r="I48" s="19" t="n">
        <f aca="false">IF(B48&lt;=0,0,MAX(0,B48-C48-H48))</f>
        <v>5201.95965856502</v>
      </c>
      <c r="J48" s="19" t="n">
        <f aca="false">J47+G48</f>
        <v>1911.19965856503</v>
      </c>
    </row>
    <row r="49" customFormat="false" ht="15" hidden="false" customHeight="false" outlineLevel="0" collapsed="false">
      <c r="A49" s="21" t="n">
        <v>48</v>
      </c>
      <c r="B49" s="22" t="n">
        <f aca="false">MAX(0,I48)</f>
        <v>5201.95965856502</v>
      </c>
      <c r="C49" s="22" t="n">
        <f aca="false">IF(B49&lt;=0,0,IF(A49='Loan Calculator'!B12,MIN('Loan Calculator'!B11,B49),0)+IF(A49='Loan Calculator'!B14,MIN('Loan Calculator'!B13,B49),0))</f>
        <v>0</v>
      </c>
      <c r="D49" s="22" t="n">
        <f aca="false">IF(B49&lt;=0,0,'Loan Calculator'!B4)</f>
        <v>365.72</v>
      </c>
      <c r="E49" s="22" t="n">
        <f aca="false">IF(B49&lt;=0,0,IF(A49&gt;='Loan Calculator'!B18,'Loan Calculator'!B17,0)+IF(A49&gt;='Loan Calculator'!B20,'Loan Calculator'!B19,0)+IF(A49&gt;='Loan Calculator'!B22,'Loan Calculator'!B21,0))</f>
        <v>197.44</v>
      </c>
      <c r="F49" s="22" t="n">
        <f aca="false">IF(B49&lt;=0,0,MIN(D49+E49,(B49-C49)*(1+'Loan Calculator'!B7)))</f>
        <v>563.16</v>
      </c>
      <c r="G49" s="22" t="n">
        <f aca="false">IF(B49&lt;=0,0,MAX(0,(B49-C49)*'Loan Calculator'!B7))</f>
        <v>12.0045222889962</v>
      </c>
      <c r="H49" s="22" t="n">
        <f aca="false">IF(B49&lt;=0,0,F49-G49)</f>
        <v>551.155477711004</v>
      </c>
      <c r="I49" s="22" t="n">
        <f aca="false">IF(B49&lt;=0,0,MAX(0,B49-C49-H49))</f>
        <v>4650.80418085402</v>
      </c>
      <c r="J49" s="22" t="n">
        <f aca="false">J48+G49</f>
        <v>1923.20418085403</v>
      </c>
    </row>
    <row r="50" customFormat="false" ht="15" hidden="false" customHeight="false" outlineLevel="0" collapsed="false">
      <c r="A50" s="18" t="n">
        <v>49</v>
      </c>
      <c r="B50" s="19" t="n">
        <f aca="false">MAX(0,I49)</f>
        <v>4650.80418085402</v>
      </c>
      <c r="C50" s="19" t="n">
        <f aca="false">IF(B50&lt;=0,0,IF(A50='Loan Calculator'!B12,MIN('Loan Calculator'!B11,B50),0)+IF(A50='Loan Calculator'!B14,MIN('Loan Calculator'!B13,B50),0))</f>
        <v>0</v>
      </c>
      <c r="D50" s="19" t="n">
        <f aca="false">IF(B50&lt;=0,0,'Loan Calculator'!B4)</f>
        <v>365.72</v>
      </c>
      <c r="E50" s="19" t="n">
        <f aca="false">IF(B50&lt;=0,0,IF(A50&gt;='Loan Calculator'!B18,'Loan Calculator'!B17,0)+IF(A50&gt;='Loan Calculator'!B20,'Loan Calculator'!B19,0)+IF(A50&gt;='Loan Calculator'!B22,'Loan Calculator'!B21,0))</f>
        <v>197.44</v>
      </c>
      <c r="F50" s="19" t="n">
        <f aca="false">IF(B50&lt;=0,0,MIN(D50+E50,(B50-C50)*(1+'Loan Calculator'!B7)))</f>
        <v>563.16</v>
      </c>
      <c r="G50" s="19" t="n">
        <f aca="false">IF(B50&lt;=0,0,MAX(0,(B50-C50)*'Loan Calculator'!B7))</f>
        <v>10.73262503274</v>
      </c>
      <c r="H50" s="19" t="n">
        <f aca="false">IF(B50&lt;=0,0,F50-G50)</f>
        <v>552.42737496726</v>
      </c>
      <c r="I50" s="19" t="n">
        <f aca="false">IF(B50&lt;=0,0,MAX(0,B50-C50-H50))</f>
        <v>4098.37680588676</v>
      </c>
      <c r="J50" s="19" t="n">
        <f aca="false">J49+G50</f>
        <v>1933.93680588677</v>
      </c>
    </row>
    <row r="51" customFormat="false" ht="15" hidden="false" customHeight="false" outlineLevel="0" collapsed="false">
      <c r="A51" s="21" t="n">
        <v>50</v>
      </c>
      <c r="B51" s="22" t="n">
        <f aca="false">MAX(0,I50)</f>
        <v>4098.37680588676</v>
      </c>
      <c r="C51" s="22" t="n">
        <f aca="false">IF(B51&lt;=0,0,IF(A51='Loan Calculator'!B12,MIN('Loan Calculator'!B11,B51),0)+IF(A51='Loan Calculator'!B14,MIN('Loan Calculator'!B13,B51),0))</f>
        <v>0</v>
      </c>
      <c r="D51" s="22" t="n">
        <f aca="false">IF(B51&lt;=0,0,'Loan Calculator'!B4)</f>
        <v>365.72</v>
      </c>
      <c r="E51" s="22" t="n">
        <f aca="false">IF(B51&lt;=0,0,IF(A51&gt;='Loan Calculator'!B18,'Loan Calculator'!B17,0)+IF(A51&gt;='Loan Calculator'!B20,'Loan Calculator'!B19,0)+IF(A51&gt;='Loan Calculator'!B22,'Loan Calculator'!B21,0))</f>
        <v>197.44</v>
      </c>
      <c r="F51" s="22" t="n">
        <f aca="false">IF(B51&lt;=0,0,MIN(D51+E51,(B51-C51)*(1+'Loan Calculator'!B7)))</f>
        <v>563.16</v>
      </c>
      <c r="G51" s="22" t="n">
        <f aca="false">IF(B51&lt;=0,0,MAX(0,(B51-C51)*'Loan Calculator'!B7))</f>
        <v>9.45779262896944</v>
      </c>
      <c r="H51" s="22" t="n">
        <f aca="false">IF(B51&lt;=0,0,F51-G51)</f>
        <v>553.702207371031</v>
      </c>
      <c r="I51" s="22" t="n">
        <f aca="false">IF(B51&lt;=0,0,MAX(0,B51-C51-H51))</f>
        <v>3544.67459851573</v>
      </c>
      <c r="J51" s="22" t="n">
        <f aca="false">J50+G51</f>
        <v>1943.39459851574</v>
      </c>
    </row>
    <row r="52" customFormat="false" ht="15" hidden="false" customHeight="false" outlineLevel="0" collapsed="false">
      <c r="A52" s="18" t="n">
        <v>51</v>
      </c>
      <c r="B52" s="19" t="n">
        <f aca="false">MAX(0,I51)</f>
        <v>3544.67459851573</v>
      </c>
      <c r="C52" s="19" t="n">
        <f aca="false">IF(B52&lt;=0,0,IF(A52='Loan Calculator'!B12,MIN('Loan Calculator'!B11,B52),0)+IF(A52='Loan Calculator'!B14,MIN('Loan Calculator'!B13,B52),0))</f>
        <v>0</v>
      </c>
      <c r="D52" s="19" t="n">
        <f aca="false">IF(B52&lt;=0,0,'Loan Calculator'!B4)</f>
        <v>365.72</v>
      </c>
      <c r="E52" s="19" t="n">
        <f aca="false">IF(B52&lt;=0,0,IF(A52&gt;='Loan Calculator'!B18,'Loan Calculator'!B17,0)+IF(A52&gt;='Loan Calculator'!B20,'Loan Calculator'!B19,0)+IF(A52&gt;='Loan Calculator'!B22,'Loan Calculator'!B21,0))</f>
        <v>197.44</v>
      </c>
      <c r="F52" s="19" t="n">
        <f aca="false">IF(B52&lt;=0,0,MIN(D52+E52,(B52-C52)*(1+'Loan Calculator'!B7)))</f>
        <v>563.16</v>
      </c>
      <c r="G52" s="19" t="n">
        <f aca="false">IF(B52&lt;=0,0,MAX(0,(B52-C52)*'Loan Calculator'!B7))</f>
        <v>8.18001830426707</v>
      </c>
      <c r="H52" s="19" t="n">
        <f aca="false">IF(B52&lt;=0,0,F52-G52)</f>
        <v>554.979981695733</v>
      </c>
      <c r="I52" s="19" t="n">
        <f aca="false">IF(B52&lt;=0,0,MAX(0,B52-C52-H52))</f>
        <v>2989.69461682</v>
      </c>
      <c r="J52" s="19" t="n">
        <f aca="false">J51+G52</f>
        <v>1951.57461682001</v>
      </c>
    </row>
    <row r="53" customFormat="false" ht="15" hidden="false" customHeight="false" outlineLevel="0" collapsed="false">
      <c r="A53" s="21" t="n">
        <v>52</v>
      </c>
      <c r="B53" s="22" t="n">
        <f aca="false">MAX(0,I52)</f>
        <v>2989.69461682</v>
      </c>
      <c r="C53" s="22" t="n">
        <f aca="false">IF(B53&lt;=0,0,IF(A53='Loan Calculator'!B12,MIN('Loan Calculator'!B11,B53),0)+IF(A53='Loan Calculator'!B14,MIN('Loan Calculator'!B13,B53),0))</f>
        <v>0</v>
      </c>
      <c r="D53" s="22" t="n">
        <f aca="false">IF(B53&lt;=0,0,'Loan Calculator'!B4)</f>
        <v>365.72</v>
      </c>
      <c r="E53" s="22" t="n">
        <f aca="false">IF(B53&lt;=0,0,IF(A53&gt;='Loan Calculator'!B18,'Loan Calculator'!B17,0)+IF(A53&gt;='Loan Calculator'!B20,'Loan Calculator'!B19,0)+IF(A53&gt;='Loan Calculator'!B22,'Loan Calculator'!B21,0))</f>
        <v>197.44</v>
      </c>
      <c r="F53" s="22" t="n">
        <f aca="false">IF(B53&lt;=0,0,MIN(D53+E53,(B53-C53)*(1+'Loan Calculator'!B7)))</f>
        <v>563.16</v>
      </c>
      <c r="G53" s="22" t="n">
        <f aca="false">IF(B53&lt;=0,0,MAX(0,(B53-C53)*'Loan Calculator'!B7))</f>
        <v>6.89929526958461</v>
      </c>
      <c r="H53" s="22" t="n">
        <f aca="false">IF(B53&lt;=0,0,F53-G53)</f>
        <v>556.260704730416</v>
      </c>
      <c r="I53" s="22" t="n">
        <f aca="false">IF(B53&lt;=0,0,MAX(0,B53-C53-H53))</f>
        <v>2433.43391208958</v>
      </c>
      <c r="J53" s="22" t="n">
        <f aca="false">J52+G53</f>
        <v>1958.47391208959</v>
      </c>
    </row>
    <row r="54" customFormat="false" ht="15" hidden="false" customHeight="false" outlineLevel="0" collapsed="false">
      <c r="A54" s="18" t="n">
        <v>53</v>
      </c>
      <c r="B54" s="19" t="n">
        <f aca="false">MAX(0,I53)</f>
        <v>2433.43391208958</v>
      </c>
      <c r="C54" s="19" t="n">
        <f aca="false">IF(B54&lt;=0,0,IF(A54='Loan Calculator'!B12,MIN('Loan Calculator'!B11,B54),0)+IF(A54='Loan Calculator'!B14,MIN('Loan Calculator'!B13,B54),0))</f>
        <v>0</v>
      </c>
      <c r="D54" s="19" t="n">
        <f aca="false">IF(B54&lt;=0,0,'Loan Calculator'!B4)</f>
        <v>365.72</v>
      </c>
      <c r="E54" s="19" t="n">
        <f aca="false">IF(B54&lt;=0,0,IF(A54&gt;='Loan Calculator'!B18,'Loan Calculator'!B17,0)+IF(A54&gt;='Loan Calculator'!B20,'Loan Calculator'!B19,0)+IF(A54&gt;='Loan Calculator'!B22,'Loan Calculator'!B21,0))</f>
        <v>197.44</v>
      </c>
      <c r="F54" s="19" t="n">
        <f aca="false">IF(B54&lt;=0,0,MIN(D54+E54,(B54-C54)*(1+'Loan Calculator'!B7)))</f>
        <v>563.16</v>
      </c>
      <c r="G54" s="19" t="n">
        <f aca="false">IF(B54&lt;=0,0,MAX(0,(B54-C54)*'Loan Calculator'!B7))</f>
        <v>5.61561672020672</v>
      </c>
      <c r="H54" s="19" t="n">
        <f aca="false">IF(B54&lt;=0,0,F54-G54)</f>
        <v>557.544383279793</v>
      </c>
      <c r="I54" s="19" t="n">
        <f aca="false">IF(B54&lt;=0,0,MAX(0,B54-C54-H54))</f>
        <v>1875.88952880979</v>
      </c>
      <c r="J54" s="19" t="n">
        <f aca="false">J53+G54</f>
        <v>1964.0895288098</v>
      </c>
    </row>
    <row r="55" customFormat="false" ht="15" hidden="false" customHeight="false" outlineLevel="0" collapsed="false">
      <c r="A55" s="21" t="n">
        <v>54</v>
      </c>
      <c r="B55" s="22" t="n">
        <f aca="false">MAX(0,I54)</f>
        <v>1875.88952880979</v>
      </c>
      <c r="C55" s="22" t="n">
        <f aca="false">IF(B55&lt;=0,0,IF(A55='Loan Calculator'!B12,MIN('Loan Calculator'!B11,B55),0)+IF(A55='Loan Calculator'!B14,MIN('Loan Calculator'!B13,B55),0))</f>
        <v>0</v>
      </c>
      <c r="D55" s="22" t="n">
        <f aca="false">IF(B55&lt;=0,0,'Loan Calculator'!B4)</f>
        <v>365.72</v>
      </c>
      <c r="E55" s="22" t="n">
        <f aca="false">IF(B55&lt;=0,0,IF(A55&gt;='Loan Calculator'!B18,'Loan Calculator'!B17,0)+IF(A55&gt;='Loan Calculator'!B20,'Loan Calculator'!B19,0)+IF(A55&gt;='Loan Calculator'!B22,'Loan Calculator'!B21,0))</f>
        <v>197.44</v>
      </c>
      <c r="F55" s="22" t="n">
        <f aca="false">IF(B55&lt;=0,0,MIN(D55+E55,(B55-C55)*(1+'Loan Calculator'!B7)))</f>
        <v>563.16</v>
      </c>
      <c r="G55" s="22" t="n">
        <f aca="false">IF(B55&lt;=0,0,MAX(0,(B55-C55)*'Loan Calculator'!B7))</f>
        <v>4.32897583571489</v>
      </c>
      <c r="H55" s="22" t="n">
        <f aca="false">IF(B55&lt;=0,0,F55-G55)</f>
        <v>558.831024164285</v>
      </c>
      <c r="I55" s="22" t="n">
        <f aca="false">IF(B55&lt;=0,0,MAX(0,B55-C55-H55))</f>
        <v>1317.0585046455</v>
      </c>
      <c r="J55" s="22" t="n">
        <f aca="false">J54+G55</f>
        <v>1968.41850464551</v>
      </c>
    </row>
    <row r="56" customFormat="false" ht="15" hidden="false" customHeight="false" outlineLevel="0" collapsed="false">
      <c r="A56" s="18" t="n">
        <v>55</v>
      </c>
      <c r="B56" s="19" t="n">
        <f aca="false">MAX(0,I55)</f>
        <v>1317.0585046455</v>
      </c>
      <c r="C56" s="19" t="n">
        <f aca="false">IF(B56&lt;=0,0,IF(A56='Loan Calculator'!B12,MIN('Loan Calculator'!B11,B56),0)+IF(A56='Loan Calculator'!B14,MIN('Loan Calculator'!B13,B56),0))</f>
        <v>0</v>
      </c>
      <c r="D56" s="19" t="n">
        <f aca="false">IF(B56&lt;=0,0,'Loan Calculator'!B4)</f>
        <v>365.72</v>
      </c>
      <c r="E56" s="19" t="n">
        <f aca="false">IF(B56&lt;=0,0,IF(A56&gt;='Loan Calculator'!B18,'Loan Calculator'!B17,0)+IF(A56&gt;='Loan Calculator'!B20,'Loan Calculator'!B19,0)+IF(A56&gt;='Loan Calculator'!B22,'Loan Calculator'!B21,0))</f>
        <v>197.44</v>
      </c>
      <c r="F56" s="19" t="n">
        <f aca="false">IF(B56&lt;=0,0,MIN(D56+E56,(B56-C56)*(1+'Loan Calculator'!B7)))</f>
        <v>563.16</v>
      </c>
      <c r="G56" s="19" t="n">
        <f aca="false">IF(B56&lt;=0,0,MAX(0,(B56-C56)*'Loan Calculator'!B7))</f>
        <v>3.03936577995116</v>
      </c>
      <c r="H56" s="19" t="n">
        <f aca="false">IF(B56&lt;=0,0,F56-G56)</f>
        <v>560.120634220049</v>
      </c>
      <c r="I56" s="19" t="n">
        <f aca="false">IF(B56&lt;=0,0,MAX(0,B56-C56-H56))</f>
        <v>756.937870425453</v>
      </c>
      <c r="J56" s="19" t="n">
        <f aca="false">J55+G56</f>
        <v>1971.45787042546</v>
      </c>
    </row>
    <row r="57" customFormat="false" ht="15" hidden="false" customHeight="false" outlineLevel="0" collapsed="false">
      <c r="A57" s="21" t="n">
        <v>56</v>
      </c>
      <c r="B57" s="22" t="n">
        <f aca="false">MAX(0,I56)</f>
        <v>756.937870425453</v>
      </c>
      <c r="C57" s="22" t="n">
        <f aca="false">IF(B57&lt;=0,0,IF(A57='Loan Calculator'!B12,MIN('Loan Calculator'!B11,B57),0)+IF(A57='Loan Calculator'!B14,MIN('Loan Calculator'!B13,B57),0))</f>
        <v>0</v>
      </c>
      <c r="D57" s="22" t="n">
        <f aca="false">IF(B57&lt;=0,0,'Loan Calculator'!B4)</f>
        <v>365.72</v>
      </c>
      <c r="E57" s="22" t="n">
        <f aca="false">IF(B57&lt;=0,0,IF(A57&gt;='Loan Calculator'!B18,'Loan Calculator'!B17,0)+IF(A57&gt;='Loan Calculator'!B20,'Loan Calculator'!B19,0)+IF(A57&gt;='Loan Calculator'!B22,'Loan Calculator'!B21,0))</f>
        <v>197.44</v>
      </c>
      <c r="F57" s="22" t="n">
        <f aca="false">IF(B57&lt;=0,0,MIN(D57+E57,(B57-C57)*(1+'Loan Calculator'!B7)))</f>
        <v>563.16</v>
      </c>
      <c r="G57" s="22" t="n">
        <f aca="false">IF(B57&lt;=0,0,MAX(0,(B57-C57)*'Loan Calculator'!B7))</f>
        <v>1.74677970098181</v>
      </c>
      <c r="H57" s="22" t="n">
        <f aca="false">IF(B57&lt;=0,0,F57-G57)</f>
        <v>561.413220299018</v>
      </c>
      <c r="I57" s="22" t="n">
        <f aca="false">IF(B57&lt;=0,0,MAX(0,B57-C57-H57))</f>
        <v>195.524650126435</v>
      </c>
      <c r="J57" s="22" t="n">
        <f aca="false">J56+G57</f>
        <v>1973.20465012645</v>
      </c>
    </row>
    <row r="58" customFormat="false" ht="15" hidden="false" customHeight="false" outlineLevel="0" collapsed="false">
      <c r="A58" s="18" t="n">
        <v>57</v>
      </c>
      <c r="B58" s="19" t="n">
        <f aca="false">MAX(0,I57)</f>
        <v>195.524650126435</v>
      </c>
      <c r="C58" s="19" t="n">
        <f aca="false">IF(B58&lt;=0,0,IF(A58='Loan Calculator'!B12,MIN('Loan Calculator'!B11,B58),0)+IF(A58='Loan Calculator'!B14,MIN('Loan Calculator'!B13,B58),0))</f>
        <v>0</v>
      </c>
      <c r="D58" s="19" t="n">
        <f aca="false">IF(B58&lt;=0,0,'Loan Calculator'!B4)</f>
        <v>365.72</v>
      </c>
      <c r="E58" s="19" t="n">
        <f aca="false">IF(B58&lt;=0,0,IF(A58&gt;='Loan Calculator'!B18,'Loan Calculator'!B17,0)+IF(A58&gt;='Loan Calculator'!B20,'Loan Calculator'!B19,0)+IF(A58&gt;='Loan Calculator'!B22,'Loan Calculator'!B21,0))</f>
        <v>197.44</v>
      </c>
      <c r="F58" s="19" t="n">
        <f aca="false">IF(B58&lt;=0,0,MIN(D58+E58,(B58-C58)*(1+'Loan Calculator'!B7)))</f>
        <v>195.975860857496</v>
      </c>
      <c r="G58" s="19" t="n">
        <f aca="false">IF(B58&lt;=0,0,MAX(0,(B58-C58)*'Loan Calculator'!B7))</f>
        <v>0.451210731061003</v>
      </c>
      <c r="H58" s="19" t="n">
        <f aca="false">IF(B58&lt;=0,0,F58-G58)</f>
        <v>195.524650126435</v>
      </c>
      <c r="I58" s="19" t="n">
        <f aca="false">IF(B58&lt;=0,0,MAX(0,B58-C58-H58))</f>
        <v>0</v>
      </c>
      <c r="J58" s="19" t="n">
        <f aca="false">J57+G58</f>
        <v>1973.65586085751</v>
      </c>
    </row>
    <row r="59" customFormat="false" ht="15" hidden="false" customHeight="false" outlineLevel="0" collapsed="false">
      <c r="A59" s="21" t="n">
        <v>58</v>
      </c>
      <c r="B59" s="22" t="n">
        <f aca="false">MAX(0,I58)</f>
        <v>0</v>
      </c>
      <c r="C59" s="22" t="n">
        <f aca="false">IF(B59&lt;=0,0,IF(A59='Loan Calculator'!B12,MIN('Loan Calculator'!B11,B59),0)+IF(A59='Loan Calculator'!B14,MIN('Loan Calculator'!B13,B59),0))</f>
        <v>0</v>
      </c>
      <c r="D59" s="22" t="n">
        <f aca="false">IF(B59&lt;=0,0,'Loan Calculator'!B4)</f>
        <v>0</v>
      </c>
      <c r="E59" s="22" t="n">
        <f aca="false">IF(B59&lt;=0,0,IF(A59&gt;='Loan Calculator'!B18,'Loan Calculator'!B17,0)+IF(A59&gt;='Loan Calculator'!B20,'Loan Calculator'!B19,0)+IF(A59&gt;='Loan Calculator'!B22,'Loan Calculator'!B21,0))</f>
        <v>0</v>
      </c>
      <c r="F59" s="22" t="n">
        <f aca="false">IF(B59&lt;=0,0,MIN(D59+E59,(B59-C59)*(1+'Loan Calculator'!B7)))</f>
        <v>0</v>
      </c>
      <c r="G59" s="22" t="n">
        <f aca="false">IF(B59&lt;=0,0,MAX(0,(B59-C59)*'Loan Calculator'!B7))</f>
        <v>0</v>
      </c>
      <c r="H59" s="22" t="n">
        <f aca="false">IF(B59&lt;=0,0,F59-G59)</f>
        <v>0</v>
      </c>
      <c r="I59" s="22" t="n">
        <f aca="false">IF(B59&lt;=0,0,MAX(0,B59-C59-H59))</f>
        <v>0</v>
      </c>
      <c r="J59" s="22" t="n">
        <f aca="false">J58+G59</f>
        <v>1973.65586085751</v>
      </c>
    </row>
    <row r="60" customFormat="false" ht="15" hidden="false" customHeight="false" outlineLevel="0" collapsed="false">
      <c r="A60" s="18" t="n">
        <v>59</v>
      </c>
      <c r="B60" s="19" t="n">
        <f aca="false">MAX(0,I59)</f>
        <v>0</v>
      </c>
      <c r="C60" s="19" t="n">
        <f aca="false">IF(B60&lt;=0,0,IF(A60='Loan Calculator'!B12,MIN('Loan Calculator'!B11,B60),0)+IF(A60='Loan Calculator'!B14,MIN('Loan Calculator'!B13,B60),0))</f>
        <v>0</v>
      </c>
      <c r="D60" s="19" t="n">
        <f aca="false">IF(B60&lt;=0,0,'Loan Calculator'!B4)</f>
        <v>0</v>
      </c>
      <c r="E60" s="19" t="n">
        <f aca="false">IF(B60&lt;=0,0,IF(A60&gt;='Loan Calculator'!B18,'Loan Calculator'!B17,0)+IF(A60&gt;='Loan Calculator'!B20,'Loan Calculator'!B19,0)+IF(A60&gt;='Loan Calculator'!B22,'Loan Calculator'!B21,0))</f>
        <v>0</v>
      </c>
      <c r="F60" s="19" t="n">
        <f aca="false">IF(B60&lt;=0,0,MIN(D60+E60,(B60-C60)*(1+'Loan Calculator'!B7)))</f>
        <v>0</v>
      </c>
      <c r="G60" s="19" t="n">
        <f aca="false">IF(B60&lt;=0,0,MAX(0,(B60-C60)*'Loan Calculator'!B7))</f>
        <v>0</v>
      </c>
      <c r="H60" s="19" t="n">
        <f aca="false">IF(B60&lt;=0,0,F60-G60)</f>
        <v>0</v>
      </c>
      <c r="I60" s="19" t="n">
        <f aca="false">IF(B60&lt;=0,0,MAX(0,B60-C60-H60))</f>
        <v>0</v>
      </c>
      <c r="J60" s="19" t="n">
        <f aca="false">J59+G60</f>
        <v>1973.65586085751</v>
      </c>
    </row>
    <row r="61" customFormat="false" ht="15" hidden="false" customHeight="false" outlineLevel="0" collapsed="false">
      <c r="A61" s="21" t="n">
        <v>60</v>
      </c>
      <c r="B61" s="22" t="n">
        <f aca="false">MAX(0,I60)</f>
        <v>0</v>
      </c>
      <c r="C61" s="22" t="n">
        <f aca="false">IF(B61&lt;=0,0,IF(A61='Loan Calculator'!B12,MIN('Loan Calculator'!B11,B61),0)+IF(A61='Loan Calculator'!B14,MIN('Loan Calculator'!B13,B61),0))</f>
        <v>0</v>
      </c>
      <c r="D61" s="22" t="n">
        <f aca="false">IF(B61&lt;=0,0,'Loan Calculator'!B4)</f>
        <v>0</v>
      </c>
      <c r="E61" s="22" t="n">
        <f aca="false">IF(B61&lt;=0,0,IF(A61&gt;='Loan Calculator'!B18,'Loan Calculator'!B17,0)+IF(A61&gt;='Loan Calculator'!B20,'Loan Calculator'!B19,0)+IF(A61&gt;='Loan Calculator'!B22,'Loan Calculator'!B21,0))</f>
        <v>0</v>
      </c>
      <c r="F61" s="22" t="n">
        <f aca="false">IF(B61&lt;=0,0,MIN(D61+E61,(B61-C61)*(1+'Loan Calculator'!B7)))</f>
        <v>0</v>
      </c>
      <c r="G61" s="22" t="n">
        <f aca="false">IF(B61&lt;=0,0,MAX(0,(B61-C61)*'Loan Calculator'!B7))</f>
        <v>0</v>
      </c>
      <c r="H61" s="22" t="n">
        <f aca="false">IF(B61&lt;=0,0,F61-G61)</f>
        <v>0</v>
      </c>
      <c r="I61" s="22" t="n">
        <f aca="false">IF(B61&lt;=0,0,MAX(0,B61-C61-H61))</f>
        <v>0</v>
      </c>
      <c r="J61" s="22" t="n">
        <f aca="false">J60+G61</f>
        <v>1973.65586085751</v>
      </c>
    </row>
    <row r="62" customFormat="false" ht="15" hidden="false" customHeight="false" outlineLevel="0" collapsed="false">
      <c r="A62" s="18" t="n">
        <v>61</v>
      </c>
      <c r="B62" s="19" t="n">
        <f aca="false">MAX(0,I61)</f>
        <v>0</v>
      </c>
      <c r="C62" s="19" t="n">
        <f aca="false">IF(B62&lt;=0,0,IF(A62='Loan Calculator'!B12,MIN('Loan Calculator'!B11,B62),0)+IF(A62='Loan Calculator'!B14,MIN('Loan Calculator'!B13,B62),0))</f>
        <v>0</v>
      </c>
      <c r="D62" s="19" t="n">
        <f aca="false">IF(B62&lt;=0,0,'Loan Calculator'!B4)</f>
        <v>0</v>
      </c>
      <c r="E62" s="19" t="n">
        <f aca="false">IF(B62&lt;=0,0,IF(A62&gt;='Loan Calculator'!B18,'Loan Calculator'!B17,0)+IF(A62&gt;='Loan Calculator'!B20,'Loan Calculator'!B19,0)+IF(A62&gt;='Loan Calculator'!B22,'Loan Calculator'!B21,0))</f>
        <v>0</v>
      </c>
      <c r="F62" s="19" t="n">
        <f aca="false">IF(B62&lt;=0,0,MIN(D62+E62,(B62-C62)*(1+'Loan Calculator'!B7)))</f>
        <v>0</v>
      </c>
      <c r="G62" s="19" t="n">
        <f aca="false">IF(B62&lt;=0,0,MAX(0,(B62-C62)*'Loan Calculator'!B7))</f>
        <v>0</v>
      </c>
      <c r="H62" s="19" t="n">
        <f aca="false">IF(B62&lt;=0,0,F62-G62)</f>
        <v>0</v>
      </c>
      <c r="I62" s="19" t="n">
        <f aca="false">IF(B62&lt;=0,0,MAX(0,B62-C62-H62))</f>
        <v>0</v>
      </c>
      <c r="J62" s="19" t="n">
        <f aca="false">J61+G62</f>
        <v>1973.65586085751</v>
      </c>
    </row>
    <row r="63" customFormat="false" ht="15" hidden="false" customHeight="false" outlineLevel="0" collapsed="false">
      <c r="A63" s="21" t="n">
        <v>62</v>
      </c>
      <c r="B63" s="22" t="n">
        <f aca="false">MAX(0,I62)</f>
        <v>0</v>
      </c>
      <c r="C63" s="22" t="n">
        <f aca="false">IF(B63&lt;=0,0,IF(A63='Loan Calculator'!B12,MIN('Loan Calculator'!B11,B63),0)+IF(A63='Loan Calculator'!B14,MIN('Loan Calculator'!B13,B63),0))</f>
        <v>0</v>
      </c>
      <c r="D63" s="22" t="n">
        <f aca="false">IF(B63&lt;=0,0,'Loan Calculator'!B4)</f>
        <v>0</v>
      </c>
      <c r="E63" s="22" t="n">
        <f aca="false">IF(B63&lt;=0,0,IF(A63&gt;='Loan Calculator'!B18,'Loan Calculator'!B17,0)+IF(A63&gt;='Loan Calculator'!B20,'Loan Calculator'!B19,0)+IF(A63&gt;='Loan Calculator'!B22,'Loan Calculator'!B21,0))</f>
        <v>0</v>
      </c>
      <c r="F63" s="22" t="n">
        <f aca="false">IF(B63&lt;=0,0,MIN(D63+E63,(B63-C63)*(1+'Loan Calculator'!B7)))</f>
        <v>0</v>
      </c>
      <c r="G63" s="22" t="n">
        <f aca="false">IF(B63&lt;=0,0,MAX(0,(B63-C63)*'Loan Calculator'!B7))</f>
        <v>0</v>
      </c>
      <c r="H63" s="22" t="n">
        <f aca="false">IF(B63&lt;=0,0,F63-G63)</f>
        <v>0</v>
      </c>
      <c r="I63" s="22" t="n">
        <f aca="false">IF(B63&lt;=0,0,MAX(0,B63-C63-H63))</f>
        <v>0</v>
      </c>
      <c r="J63" s="22" t="n">
        <f aca="false">J62+G63</f>
        <v>1973.65586085751</v>
      </c>
    </row>
    <row r="64" customFormat="false" ht="15" hidden="false" customHeight="false" outlineLevel="0" collapsed="false">
      <c r="A64" s="18" t="n">
        <v>63</v>
      </c>
      <c r="B64" s="19" t="n">
        <f aca="false">MAX(0,I63)</f>
        <v>0</v>
      </c>
      <c r="C64" s="19" t="n">
        <f aca="false">IF(B64&lt;=0,0,IF(A64='Loan Calculator'!B12,MIN('Loan Calculator'!B11,B64),0)+IF(A64='Loan Calculator'!B14,MIN('Loan Calculator'!B13,B64),0))</f>
        <v>0</v>
      </c>
      <c r="D64" s="19" t="n">
        <f aca="false">IF(B64&lt;=0,0,'Loan Calculator'!B4)</f>
        <v>0</v>
      </c>
      <c r="E64" s="19" t="n">
        <f aca="false">IF(B64&lt;=0,0,IF(A64&gt;='Loan Calculator'!B18,'Loan Calculator'!B17,0)+IF(A64&gt;='Loan Calculator'!B20,'Loan Calculator'!B19,0)+IF(A64&gt;='Loan Calculator'!B22,'Loan Calculator'!B21,0))</f>
        <v>0</v>
      </c>
      <c r="F64" s="19" t="n">
        <f aca="false">IF(B64&lt;=0,0,MIN(D64+E64,(B64-C64)*(1+'Loan Calculator'!B7)))</f>
        <v>0</v>
      </c>
      <c r="G64" s="19" t="n">
        <f aca="false">IF(B64&lt;=0,0,MAX(0,(B64-C64)*'Loan Calculator'!B7))</f>
        <v>0</v>
      </c>
      <c r="H64" s="19" t="n">
        <f aca="false">IF(B64&lt;=0,0,F64-G64)</f>
        <v>0</v>
      </c>
      <c r="I64" s="19" t="n">
        <f aca="false">IF(B64&lt;=0,0,MAX(0,B64-C64-H64))</f>
        <v>0</v>
      </c>
      <c r="J64" s="19" t="n">
        <f aca="false">J63+G64</f>
        <v>1973.65586085751</v>
      </c>
    </row>
    <row r="65" customFormat="false" ht="15" hidden="false" customHeight="false" outlineLevel="0" collapsed="false">
      <c r="A65" s="21" t="n">
        <v>64</v>
      </c>
      <c r="B65" s="22" t="n">
        <f aca="false">MAX(0,I64)</f>
        <v>0</v>
      </c>
      <c r="C65" s="22" t="n">
        <f aca="false">IF(B65&lt;=0,0,IF(A65='Loan Calculator'!B12,MIN('Loan Calculator'!B11,B65),0)+IF(A65='Loan Calculator'!B14,MIN('Loan Calculator'!B13,B65),0))</f>
        <v>0</v>
      </c>
      <c r="D65" s="22" t="n">
        <f aca="false">IF(B65&lt;=0,0,'Loan Calculator'!B4)</f>
        <v>0</v>
      </c>
      <c r="E65" s="22" t="n">
        <f aca="false">IF(B65&lt;=0,0,IF(A65&gt;='Loan Calculator'!B18,'Loan Calculator'!B17,0)+IF(A65&gt;='Loan Calculator'!B20,'Loan Calculator'!B19,0)+IF(A65&gt;='Loan Calculator'!B22,'Loan Calculator'!B21,0))</f>
        <v>0</v>
      </c>
      <c r="F65" s="22" t="n">
        <f aca="false">IF(B65&lt;=0,0,MIN(D65+E65,(B65-C65)*(1+'Loan Calculator'!B7)))</f>
        <v>0</v>
      </c>
      <c r="G65" s="22" t="n">
        <f aca="false">IF(B65&lt;=0,0,MAX(0,(B65-C65)*'Loan Calculator'!B7))</f>
        <v>0</v>
      </c>
      <c r="H65" s="22" t="n">
        <f aca="false">IF(B65&lt;=0,0,F65-G65)</f>
        <v>0</v>
      </c>
      <c r="I65" s="22" t="n">
        <f aca="false">IF(B65&lt;=0,0,MAX(0,B65-C65-H65))</f>
        <v>0</v>
      </c>
      <c r="J65" s="22" t="n">
        <f aca="false">J64+G65</f>
        <v>1973.65586085751</v>
      </c>
    </row>
    <row r="66" customFormat="false" ht="15" hidden="false" customHeight="false" outlineLevel="0" collapsed="false">
      <c r="A66" s="18" t="n">
        <v>65</v>
      </c>
      <c r="B66" s="19" t="n">
        <f aca="false">MAX(0,I65)</f>
        <v>0</v>
      </c>
      <c r="C66" s="19" t="n">
        <f aca="false">IF(B66&lt;=0,0,IF(A66='Loan Calculator'!B12,MIN('Loan Calculator'!B11,B66),0)+IF(A66='Loan Calculator'!B14,MIN('Loan Calculator'!B13,B66),0))</f>
        <v>0</v>
      </c>
      <c r="D66" s="19" t="n">
        <f aca="false">IF(B66&lt;=0,0,'Loan Calculator'!B4)</f>
        <v>0</v>
      </c>
      <c r="E66" s="19" t="n">
        <f aca="false">IF(B66&lt;=0,0,IF(A66&gt;='Loan Calculator'!B18,'Loan Calculator'!B17,0)+IF(A66&gt;='Loan Calculator'!B20,'Loan Calculator'!B19,0)+IF(A66&gt;='Loan Calculator'!B22,'Loan Calculator'!B21,0))</f>
        <v>0</v>
      </c>
      <c r="F66" s="19" t="n">
        <f aca="false">IF(B66&lt;=0,0,MIN(D66+E66,(B66-C66)*(1+'Loan Calculator'!B7)))</f>
        <v>0</v>
      </c>
      <c r="G66" s="19" t="n">
        <f aca="false">IF(B66&lt;=0,0,MAX(0,(B66-C66)*'Loan Calculator'!B7))</f>
        <v>0</v>
      </c>
      <c r="H66" s="19" t="n">
        <f aca="false">IF(B66&lt;=0,0,F66-G66)</f>
        <v>0</v>
      </c>
      <c r="I66" s="19" t="n">
        <f aca="false">IF(B66&lt;=0,0,MAX(0,B66-C66-H66))</f>
        <v>0</v>
      </c>
      <c r="J66" s="19" t="n">
        <f aca="false">J65+G66</f>
        <v>1973.65586085751</v>
      </c>
    </row>
    <row r="67" customFormat="false" ht="15" hidden="false" customHeight="false" outlineLevel="0" collapsed="false">
      <c r="A67" s="21" t="n">
        <v>66</v>
      </c>
      <c r="B67" s="22" t="n">
        <f aca="false">MAX(0,I66)</f>
        <v>0</v>
      </c>
      <c r="C67" s="22" t="n">
        <f aca="false">IF(B67&lt;=0,0,IF(A67='Loan Calculator'!B12,MIN('Loan Calculator'!B11,B67),0)+IF(A67='Loan Calculator'!B14,MIN('Loan Calculator'!B13,B67),0))</f>
        <v>0</v>
      </c>
      <c r="D67" s="22" t="n">
        <f aca="false">IF(B67&lt;=0,0,'Loan Calculator'!B4)</f>
        <v>0</v>
      </c>
      <c r="E67" s="22" t="n">
        <f aca="false">IF(B67&lt;=0,0,IF(A67&gt;='Loan Calculator'!B18,'Loan Calculator'!B17,0)+IF(A67&gt;='Loan Calculator'!B20,'Loan Calculator'!B19,0)+IF(A67&gt;='Loan Calculator'!B22,'Loan Calculator'!B21,0))</f>
        <v>0</v>
      </c>
      <c r="F67" s="22" t="n">
        <f aca="false">IF(B67&lt;=0,0,MIN(D67+E67,(B67-C67)*(1+'Loan Calculator'!B7)))</f>
        <v>0</v>
      </c>
      <c r="G67" s="22" t="n">
        <f aca="false">IF(B67&lt;=0,0,MAX(0,(B67-C67)*'Loan Calculator'!B7))</f>
        <v>0</v>
      </c>
      <c r="H67" s="22" t="n">
        <f aca="false">IF(B67&lt;=0,0,F67-G67)</f>
        <v>0</v>
      </c>
      <c r="I67" s="22" t="n">
        <f aca="false">IF(B67&lt;=0,0,MAX(0,B67-C67-H67))</f>
        <v>0</v>
      </c>
      <c r="J67" s="22" t="n">
        <f aca="false">J66+G67</f>
        <v>1973.65586085751</v>
      </c>
    </row>
    <row r="68" customFormat="false" ht="15" hidden="false" customHeight="false" outlineLevel="0" collapsed="false">
      <c r="A68" s="18" t="n">
        <v>67</v>
      </c>
      <c r="B68" s="19" t="n">
        <f aca="false">MAX(0,I67)</f>
        <v>0</v>
      </c>
      <c r="C68" s="19" t="n">
        <f aca="false">IF(B68&lt;=0,0,IF(A68='Loan Calculator'!B12,MIN('Loan Calculator'!B11,B68),0)+IF(A68='Loan Calculator'!B14,MIN('Loan Calculator'!B13,B68),0))</f>
        <v>0</v>
      </c>
      <c r="D68" s="19" t="n">
        <f aca="false">IF(B68&lt;=0,0,'Loan Calculator'!B4)</f>
        <v>0</v>
      </c>
      <c r="E68" s="19" t="n">
        <f aca="false">IF(B68&lt;=0,0,IF(A68&gt;='Loan Calculator'!B18,'Loan Calculator'!B17,0)+IF(A68&gt;='Loan Calculator'!B20,'Loan Calculator'!B19,0)+IF(A68&gt;='Loan Calculator'!B22,'Loan Calculator'!B21,0))</f>
        <v>0</v>
      </c>
      <c r="F68" s="19" t="n">
        <f aca="false">IF(B68&lt;=0,0,MIN(D68+E68,(B68-C68)*(1+'Loan Calculator'!B7)))</f>
        <v>0</v>
      </c>
      <c r="G68" s="19" t="n">
        <f aca="false">IF(B68&lt;=0,0,MAX(0,(B68-C68)*'Loan Calculator'!B7))</f>
        <v>0</v>
      </c>
      <c r="H68" s="19" t="n">
        <f aca="false">IF(B68&lt;=0,0,F68-G68)</f>
        <v>0</v>
      </c>
      <c r="I68" s="19" t="n">
        <f aca="false">IF(B68&lt;=0,0,MAX(0,B68-C68-H68))</f>
        <v>0</v>
      </c>
      <c r="J68" s="19" t="n">
        <f aca="false">J67+G68</f>
        <v>1973.65586085751</v>
      </c>
    </row>
    <row r="69" customFormat="false" ht="15" hidden="false" customHeight="false" outlineLevel="0" collapsed="false">
      <c r="A69" s="21" t="n">
        <v>68</v>
      </c>
      <c r="B69" s="22" t="n">
        <f aca="false">MAX(0,I68)</f>
        <v>0</v>
      </c>
      <c r="C69" s="22" t="n">
        <f aca="false">IF(B69&lt;=0,0,IF(A69='Loan Calculator'!B12,MIN('Loan Calculator'!B11,B69),0)+IF(A69='Loan Calculator'!B14,MIN('Loan Calculator'!B13,B69),0))</f>
        <v>0</v>
      </c>
      <c r="D69" s="22" t="n">
        <f aca="false">IF(B69&lt;=0,0,'Loan Calculator'!B4)</f>
        <v>0</v>
      </c>
      <c r="E69" s="22" t="n">
        <f aca="false">IF(B69&lt;=0,0,IF(A69&gt;='Loan Calculator'!B18,'Loan Calculator'!B17,0)+IF(A69&gt;='Loan Calculator'!B20,'Loan Calculator'!B19,0)+IF(A69&gt;='Loan Calculator'!B22,'Loan Calculator'!B21,0))</f>
        <v>0</v>
      </c>
      <c r="F69" s="22" t="n">
        <f aca="false">IF(B69&lt;=0,0,MIN(D69+E69,(B69-C69)*(1+'Loan Calculator'!B7)))</f>
        <v>0</v>
      </c>
      <c r="G69" s="22" t="n">
        <f aca="false">IF(B69&lt;=0,0,MAX(0,(B69-C69)*'Loan Calculator'!B7))</f>
        <v>0</v>
      </c>
      <c r="H69" s="22" t="n">
        <f aca="false">IF(B69&lt;=0,0,F69-G69)</f>
        <v>0</v>
      </c>
      <c r="I69" s="22" t="n">
        <f aca="false">IF(B69&lt;=0,0,MAX(0,B69-C69-H69))</f>
        <v>0</v>
      </c>
      <c r="J69" s="22" t="n">
        <f aca="false">J68+G69</f>
        <v>1973.65586085751</v>
      </c>
    </row>
    <row r="70" customFormat="false" ht="15" hidden="false" customHeight="false" outlineLevel="0" collapsed="false">
      <c r="A70" s="18" t="n">
        <v>69</v>
      </c>
      <c r="B70" s="19" t="n">
        <f aca="false">MAX(0,I69)</f>
        <v>0</v>
      </c>
      <c r="C70" s="19" t="n">
        <f aca="false">IF(B70&lt;=0,0,IF(A70='Loan Calculator'!B12,MIN('Loan Calculator'!B11,B70),0)+IF(A70='Loan Calculator'!B14,MIN('Loan Calculator'!B13,B70),0))</f>
        <v>0</v>
      </c>
      <c r="D70" s="19" t="n">
        <f aca="false">IF(B70&lt;=0,0,'Loan Calculator'!B4)</f>
        <v>0</v>
      </c>
      <c r="E70" s="19" t="n">
        <f aca="false">IF(B70&lt;=0,0,IF(A70&gt;='Loan Calculator'!B18,'Loan Calculator'!B17,0)+IF(A70&gt;='Loan Calculator'!B20,'Loan Calculator'!B19,0)+IF(A70&gt;='Loan Calculator'!B22,'Loan Calculator'!B21,0))</f>
        <v>0</v>
      </c>
      <c r="F70" s="19" t="n">
        <f aca="false">IF(B70&lt;=0,0,MIN(D70+E70,(B70-C70)*(1+'Loan Calculator'!B7)))</f>
        <v>0</v>
      </c>
      <c r="G70" s="19" t="n">
        <f aca="false">IF(B70&lt;=0,0,MAX(0,(B70-C70)*'Loan Calculator'!B7))</f>
        <v>0</v>
      </c>
      <c r="H70" s="19" t="n">
        <f aca="false">IF(B70&lt;=0,0,F70-G70)</f>
        <v>0</v>
      </c>
      <c r="I70" s="19" t="n">
        <f aca="false">IF(B70&lt;=0,0,MAX(0,B70-C70-H70))</f>
        <v>0</v>
      </c>
      <c r="J70" s="19" t="n">
        <f aca="false">J69+G70</f>
        <v>1973.65586085751</v>
      </c>
    </row>
    <row r="71" customFormat="false" ht="15" hidden="false" customHeight="false" outlineLevel="0" collapsed="false">
      <c r="A71" s="21" t="n">
        <v>70</v>
      </c>
      <c r="B71" s="22" t="n">
        <f aca="false">MAX(0,I70)</f>
        <v>0</v>
      </c>
      <c r="C71" s="22" t="n">
        <f aca="false">IF(B71&lt;=0,0,IF(A71='Loan Calculator'!B12,MIN('Loan Calculator'!B11,B71),0)+IF(A71='Loan Calculator'!B14,MIN('Loan Calculator'!B13,B71),0))</f>
        <v>0</v>
      </c>
      <c r="D71" s="22" t="n">
        <f aca="false">IF(B71&lt;=0,0,'Loan Calculator'!B4)</f>
        <v>0</v>
      </c>
      <c r="E71" s="22" t="n">
        <f aca="false">IF(B71&lt;=0,0,IF(A71&gt;='Loan Calculator'!B18,'Loan Calculator'!B17,0)+IF(A71&gt;='Loan Calculator'!B20,'Loan Calculator'!B19,0)+IF(A71&gt;='Loan Calculator'!B22,'Loan Calculator'!B21,0))</f>
        <v>0</v>
      </c>
      <c r="F71" s="22" t="n">
        <f aca="false">IF(B71&lt;=0,0,MIN(D71+E71,(B71-C71)*(1+'Loan Calculator'!B7)))</f>
        <v>0</v>
      </c>
      <c r="G71" s="22" t="n">
        <f aca="false">IF(B71&lt;=0,0,MAX(0,(B71-C71)*'Loan Calculator'!B7))</f>
        <v>0</v>
      </c>
      <c r="H71" s="22" t="n">
        <f aca="false">IF(B71&lt;=0,0,F71-G71)</f>
        <v>0</v>
      </c>
      <c r="I71" s="22" t="n">
        <f aca="false">IF(B71&lt;=0,0,MAX(0,B71-C71-H71))</f>
        <v>0</v>
      </c>
      <c r="J71" s="22" t="n">
        <f aca="false">J70+G71</f>
        <v>1973.65586085751</v>
      </c>
    </row>
    <row r="72" customFormat="false" ht="15" hidden="false" customHeight="false" outlineLevel="0" collapsed="false">
      <c r="A72" s="18" t="n">
        <v>71</v>
      </c>
      <c r="B72" s="19" t="n">
        <f aca="false">MAX(0,I71)</f>
        <v>0</v>
      </c>
      <c r="C72" s="19" t="n">
        <f aca="false">IF(B72&lt;=0,0,IF(A72='Loan Calculator'!B12,MIN('Loan Calculator'!B11,B72),0)+IF(A72='Loan Calculator'!B14,MIN('Loan Calculator'!B13,B72),0))</f>
        <v>0</v>
      </c>
      <c r="D72" s="19" t="n">
        <f aca="false">IF(B72&lt;=0,0,'Loan Calculator'!B4)</f>
        <v>0</v>
      </c>
      <c r="E72" s="19" t="n">
        <f aca="false">IF(B72&lt;=0,0,IF(A72&gt;='Loan Calculator'!B18,'Loan Calculator'!B17,0)+IF(A72&gt;='Loan Calculator'!B20,'Loan Calculator'!B19,0)+IF(A72&gt;='Loan Calculator'!B22,'Loan Calculator'!B21,0))</f>
        <v>0</v>
      </c>
      <c r="F72" s="19" t="n">
        <f aca="false">IF(B72&lt;=0,0,MIN(D72+E72,(B72-C72)*(1+'Loan Calculator'!B7)))</f>
        <v>0</v>
      </c>
      <c r="G72" s="19" t="n">
        <f aca="false">IF(B72&lt;=0,0,MAX(0,(B72-C72)*'Loan Calculator'!B7))</f>
        <v>0</v>
      </c>
      <c r="H72" s="19" t="n">
        <f aca="false">IF(B72&lt;=0,0,F72-G72)</f>
        <v>0</v>
      </c>
      <c r="I72" s="19" t="n">
        <f aca="false">IF(B72&lt;=0,0,MAX(0,B72-C72-H72))</f>
        <v>0</v>
      </c>
      <c r="J72" s="19" t="n">
        <f aca="false">J71+G72</f>
        <v>1973.65586085751</v>
      </c>
    </row>
    <row r="73" customFormat="false" ht="15" hidden="false" customHeight="false" outlineLevel="0" collapsed="false">
      <c r="A73" s="21" t="n">
        <v>72</v>
      </c>
      <c r="B73" s="22" t="n">
        <f aca="false">MAX(0,I72)</f>
        <v>0</v>
      </c>
      <c r="C73" s="22" t="n">
        <f aca="false">IF(B73&lt;=0,0,IF(A73='Loan Calculator'!B12,MIN('Loan Calculator'!B11,B73),0)+IF(A73='Loan Calculator'!B14,MIN('Loan Calculator'!B13,B73),0))</f>
        <v>0</v>
      </c>
      <c r="D73" s="22" t="n">
        <f aca="false">IF(B73&lt;=0,0,'Loan Calculator'!B4)</f>
        <v>0</v>
      </c>
      <c r="E73" s="22" t="n">
        <f aca="false">IF(B73&lt;=0,0,IF(A73&gt;='Loan Calculator'!B18,'Loan Calculator'!B17,0)+IF(A73&gt;='Loan Calculator'!B20,'Loan Calculator'!B19,0)+IF(A73&gt;='Loan Calculator'!B22,'Loan Calculator'!B21,0))</f>
        <v>0</v>
      </c>
      <c r="F73" s="22" t="n">
        <f aca="false">IF(B73&lt;=0,0,MIN(D73+E73,(B73-C73)*(1+'Loan Calculator'!B7)))</f>
        <v>0</v>
      </c>
      <c r="G73" s="22" t="n">
        <f aca="false">IF(B73&lt;=0,0,MAX(0,(B73-C73)*'Loan Calculator'!B7))</f>
        <v>0</v>
      </c>
      <c r="H73" s="22" t="n">
        <f aca="false">IF(B73&lt;=0,0,F73-G73)</f>
        <v>0</v>
      </c>
      <c r="I73" s="22" t="n">
        <f aca="false">IF(B73&lt;=0,0,MAX(0,B73-C73-H73))</f>
        <v>0</v>
      </c>
      <c r="J73" s="22" t="n">
        <f aca="false">J72+G73</f>
        <v>1973.65586085751</v>
      </c>
    </row>
    <row r="74" customFormat="false" ht="15" hidden="false" customHeight="false" outlineLevel="0" collapsed="false">
      <c r="A74" s="18" t="n">
        <v>73</v>
      </c>
      <c r="B74" s="19" t="n">
        <f aca="false">MAX(0,I73)</f>
        <v>0</v>
      </c>
      <c r="C74" s="19" t="n">
        <f aca="false">IF(B74&lt;=0,0,IF(A74='Loan Calculator'!B12,MIN('Loan Calculator'!B11,B74),0)+IF(A74='Loan Calculator'!B14,MIN('Loan Calculator'!B13,B74),0))</f>
        <v>0</v>
      </c>
      <c r="D74" s="19" t="n">
        <f aca="false">IF(B74&lt;=0,0,'Loan Calculator'!B4)</f>
        <v>0</v>
      </c>
      <c r="E74" s="19" t="n">
        <f aca="false">IF(B74&lt;=0,0,IF(A74&gt;='Loan Calculator'!B18,'Loan Calculator'!B17,0)+IF(A74&gt;='Loan Calculator'!B20,'Loan Calculator'!B19,0)+IF(A74&gt;='Loan Calculator'!B22,'Loan Calculator'!B21,0))</f>
        <v>0</v>
      </c>
      <c r="F74" s="19" t="n">
        <f aca="false">IF(B74&lt;=0,0,MIN(D74+E74,(B74-C74)*(1+'Loan Calculator'!B7)))</f>
        <v>0</v>
      </c>
      <c r="G74" s="19" t="n">
        <f aca="false">IF(B74&lt;=0,0,MAX(0,(B74-C74)*'Loan Calculator'!B7))</f>
        <v>0</v>
      </c>
      <c r="H74" s="19" t="n">
        <f aca="false">IF(B74&lt;=0,0,F74-G74)</f>
        <v>0</v>
      </c>
      <c r="I74" s="19" t="n">
        <f aca="false">IF(B74&lt;=0,0,MAX(0,B74-C74-H74))</f>
        <v>0</v>
      </c>
      <c r="J74" s="19" t="n">
        <f aca="false">J73+G74</f>
        <v>1973.65586085751</v>
      </c>
    </row>
    <row r="75" customFormat="false" ht="15" hidden="false" customHeight="false" outlineLevel="0" collapsed="false">
      <c r="A75" s="21" t="n">
        <v>74</v>
      </c>
      <c r="B75" s="22" t="n">
        <f aca="false">MAX(0,I74)</f>
        <v>0</v>
      </c>
      <c r="C75" s="22" t="n">
        <f aca="false">IF(B75&lt;=0,0,IF(A75='Loan Calculator'!B12,MIN('Loan Calculator'!B11,B75),0)+IF(A75='Loan Calculator'!B14,MIN('Loan Calculator'!B13,B75),0))</f>
        <v>0</v>
      </c>
      <c r="D75" s="22" t="n">
        <f aca="false">IF(B75&lt;=0,0,'Loan Calculator'!B4)</f>
        <v>0</v>
      </c>
      <c r="E75" s="22" t="n">
        <f aca="false">IF(B75&lt;=0,0,IF(A75&gt;='Loan Calculator'!B18,'Loan Calculator'!B17,0)+IF(A75&gt;='Loan Calculator'!B20,'Loan Calculator'!B19,0)+IF(A75&gt;='Loan Calculator'!B22,'Loan Calculator'!B21,0))</f>
        <v>0</v>
      </c>
      <c r="F75" s="22" t="n">
        <f aca="false">IF(B75&lt;=0,0,MIN(D75+E75,(B75-C75)*(1+'Loan Calculator'!B7)))</f>
        <v>0</v>
      </c>
      <c r="G75" s="22" t="n">
        <f aca="false">IF(B75&lt;=0,0,MAX(0,(B75-C75)*'Loan Calculator'!B7))</f>
        <v>0</v>
      </c>
      <c r="H75" s="22" t="n">
        <f aca="false">IF(B75&lt;=0,0,F75-G75)</f>
        <v>0</v>
      </c>
      <c r="I75" s="22" t="n">
        <f aca="false">IF(B75&lt;=0,0,MAX(0,B75-C75-H75))</f>
        <v>0</v>
      </c>
      <c r="J75" s="22" t="n">
        <f aca="false">J74+G75</f>
        <v>1973.65586085751</v>
      </c>
    </row>
    <row r="76" customFormat="false" ht="15" hidden="false" customHeight="false" outlineLevel="0" collapsed="false">
      <c r="A76" s="18" t="n">
        <v>75</v>
      </c>
      <c r="B76" s="19" t="n">
        <f aca="false">MAX(0,I75)</f>
        <v>0</v>
      </c>
      <c r="C76" s="19" t="n">
        <f aca="false">IF(B76&lt;=0,0,IF(A76='Loan Calculator'!B12,MIN('Loan Calculator'!B11,B76),0)+IF(A76='Loan Calculator'!B14,MIN('Loan Calculator'!B13,B76),0))</f>
        <v>0</v>
      </c>
      <c r="D76" s="19" t="n">
        <f aca="false">IF(B76&lt;=0,0,'Loan Calculator'!B4)</f>
        <v>0</v>
      </c>
      <c r="E76" s="19" t="n">
        <f aca="false">IF(B76&lt;=0,0,IF(A76&gt;='Loan Calculator'!B18,'Loan Calculator'!B17,0)+IF(A76&gt;='Loan Calculator'!B20,'Loan Calculator'!B19,0)+IF(A76&gt;='Loan Calculator'!B22,'Loan Calculator'!B21,0))</f>
        <v>0</v>
      </c>
      <c r="F76" s="19" t="n">
        <f aca="false">IF(B76&lt;=0,0,MIN(D76+E76,(B76-C76)*(1+'Loan Calculator'!B7)))</f>
        <v>0</v>
      </c>
      <c r="G76" s="19" t="n">
        <f aca="false">IF(B76&lt;=0,0,MAX(0,(B76-C76)*'Loan Calculator'!B7))</f>
        <v>0</v>
      </c>
      <c r="H76" s="19" t="n">
        <f aca="false">IF(B76&lt;=0,0,F76-G76)</f>
        <v>0</v>
      </c>
      <c r="I76" s="19" t="n">
        <f aca="false">IF(B76&lt;=0,0,MAX(0,B76-C76-H76))</f>
        <v>0</v>
      </c>
      <c r="J76" s="19" t="n">
        <f aca="false">J75+G76</f>
        <v>1973.65586085751</v>
      </c>
    </row>
    <row r="77" customFormat="false" ht="15" hidden="false" customHeight="false" outlineLevel="0" collapsed="false">
      <c r="A77" s="21" t="n">
        <v>76</v>
      </c>
      <c r="B77" s="22" t="n">
        <f aca="false">MAX(0,I76)</f>
        <v>0</v>
      </c>
      <c r="C77" s="22" t="n">
        <f aca="false">IF(B77&lt;=0,0,IF(A77='Loan Calculator'!B12,MIN('Loan Calculator'!B11,B77),0)+IF(A77='Loan Calculator'!B14,MIN('Loan Calculator'!B13,B77),0))</f>
        <v>0</v>
      </c>
      <c r="D77" s="22" t="n">
        <f aca="false">IF(B77&lt;=0,0,'Loan Calculator'!B4)</f>
        <v>0</v>
      </c>
      <c r="E77" s="22" t="n">
        <f aca="false">IF(B77&lt;=0,0,IF(A77&gt;='Loan Calculator'!B18,'Loan Calculator'!B17,0)+IF(A77&gt;='Loan Calculator'!B20,'Loan Calculator'!B19,0)+IF(A77&gt;='Loan Calculator'!B22,'Loan Calculator'!B21,0))</f>
        <v>0</v>
      </c>
      <c r="F77" s="22" t="n">
        <f aca="false">IF(B77&lt;=0,0,MIN(D77+E77,(B77-C77)*(1+'Loan Calculator'!B7)))</f>
        <v>0</v>
      </c>
      <c r="G77" s="22" t="n">
        <f aca="false">IF(B77&lt;=0,0,MAX(0,(B77-C77)*'Loan Calculator'!B7))</f>
        <v>0</v>
      </c>
      <c r="H77" s="22" t="n">
        <f aca="false">IF(B77&lt;=0,0,F77-G77)</f>
        <v>0</v>
      </c>
      <c r="I77" s="22" t="n">
        <f aca="false">IF(B77&lt;=0,0,MAX(0,B77-C77-H77))</f>
        <v>0</v>
      </c>
      <c r="J77" s="22" t="n">
        <f aca="false">J76+G77</f>
        <v>1973.65586085751</v>
      </c>
    </row>
    <row r="78" customFormat="false" ht="15" hidden="false" customHeight="false" outlineLevel="0" collapsed="false">
      <c r="A78" s="18" t="n">
        <v>77</v>
      </c>
      <c r="B78" s="19" t="n">
        <f aca="false">MAX(0,I77)</f>
        <v>0</v>
      </c>
      <c r="C78" s="19" t="n">
        <f aca="false">IF(B78&lt;=0,0,IF(A78='Loan Calculator'!B12,MIN('Loan Calculator'!B11,B78),0)+IF(A78='Loan Calculator'!B14,MIN('Loan Calculator'!B13,B78),0))</f>
        <v>0</v>
      </c>
      <c r="D78" s="19" t="n">
        <f aca="false">IF(B78&lt;=0,0,'Loan Calculator'!B4)</f>
        <v>0</v>
      </c>
      <c r="E78" s="19" t="n">
        <f aca="false">IF(B78&lt;=0,0,IF(A78&gt;='Loan Calculator'!B18,'Loan Calculator'!B17,0)+IF(A78&gt;='Loan Calculator'!B20,'Loan Calculator'!B19,0)+IF(A78&gt;='Loan Calculator'!B22,'Loan Calculator'!B21,0))</f>
        <v>0</v>
      </c>
      <c r="F78" s="19" t="n">
        <f aca="false">IF(B78&lt;=0,0,MIN(D78+E78,(B78-C78)*(1+'Loan Calculator'!B7)))</f>
        <v>0</v>
      </c>
      <c r="G78" s="19" t="n">
        <f aca="false">IF(B78&lt;=0,0,MAX(0,(B78-C78)*'Loan Calculator'!B7))</f>
        <v>0</v>
      </c>
      <c r="H78" s="19" t="n">
        <f aca="false">IF(B78&lt;=0,0,F78-G78)</f>
        <v>0</v>
      </c>
      <c r="I78" s="19" t="n">
        <f aca="false">IF(B78&lt;=0,0,MAX(0,B78-C78-H78))</f>
        <v>0</v>
      </c>
      <c r="J78" s="19" t="n">
        <f aca="false">J77+G78</f>
        <v>1973.65586085751</v>
      </c>
    </row>
    <row r="79" customFormat="false" ht="15" hidden="false" customHeight="false" outlineLevel="0" collapsed="false">
      <c r="A79" s="21" t="n">
        <v>78</v>
      </c>
      <c r="B79" s="22" t="n">
        <f aca="false">MAX(0,I78)</f>
        <v>0</v>
      </c>
      <c r="C79" s="22" t="n">
        <f aca="false">IF(B79&lt;=0,0,IF(A79='Loan Calculator'!B12,MIN('Loan Calculator'!B11,B79),0)+IF(A79='Loan Calculator'!B14,MIN('Loan Calculator'!B13,B79),0))</f>
        <v>0</v>
      </c>
      <c r="D79" s="22" t="n">
        <f aca="false">IF(B79&lt;=0,0,'Loan Calculator'!B4)</f>
        <v>0</v>
      </c>
      <c r="E79" s="22" t="n">
        <f aca="false">IF(B79&lt;=0,0,IF(A79&gt;='Loan Calculator'!B18,'Loan Calculator'!B17,0)+IF(A79&gt;='Loan Calculator'!B20,'Loan Calculator'!B19,0)+IF(A79&gt;='Loan Calculator'!B22,'Loan Calculator'!B21,0))</f>
        <v>0</v>
      </c>
      <c r="F79" s="22" t="n">
        <f aca="false">IF(B79&lt;=0,0,MIN(D79+E79,(B79-C79)*(1+'Loan Calculator'!B7)))</f>
        <v>0</v>
      </c>
      <c r="G79" s="22" t="n">
        <f aca="false">IF(B79&lt;=0,0,MAX(0,(B79-C79)*'Loan Calculator'!B7))</f>
        <v>0</v>
      </c>
      <c r="H79" s="22" t="n">
        <f aca="false">IF(B79&lt;=0,0,F79-G79)</f>
        <v>0</v>
      </c>
      <c r="I79" s="22" t="n">
        <f aca="false">IF(B79&lt;=0,0,MAX(0,B79-C79-H79))</f>
        <v>0</v>
      </c>
      <c r="J79" s="22" t="n">
        <f aca="false">J78+G79</f>
        <v>1973.65586085751</v>
      </c>
    </row>
    <row r="80" customFormat="false" ht="15" hidden="false" customHeight="false" outlineLevel="0" collapsed="false">
      <c r="A80" s="18" t="n">
        <v>79</v>
      </c>
      <c r="B80" s="19" t="n">
        <f aca="false">MAX(0,I79)</f>
        <v>0</v>
      </c>
      <c r="C80" s="19" t="n">
        <f aca="false">IF(B80&lt;=0,0,IF(A80='Loan Calculator'!B12,MIN('Loan Calculator'!B11,B80),0)+IF(A80='Loan Calculator'!B14,MIN('Loan Calculator'!B13,B80),0))</f>
        <v>0</v>
      </c>
      <c r="D80" s="19" t="n">
        <f aca="false">IF(B80&lt;=0,0,'Loan Calculator'!B4)</f>
        <v>0</v>
      </c>
      <c r="E80" s="19" t="n">
        <f aca="false">IF(B80&lt;=0,0,IF(A80&gt;='Loan Calculator'!B18,'Loan Calculator'!B17,0)+IF(A80&gt;='Loan Calculator'!B20,'Loan Calculator'!B19,0)+IF(A80&gt;='Loan Calculator'!B22,'Loan Calculator'!B21,0))</f>
        <v>0</v>
      </c>
      <c r="F80" s="19" t="n">
        <f aca="false">IF(B80&lt;=0,0,MIN(D80+E80,(B80-C80)*(1+'Loan Calculator'!B7)))</f>
        <v>0</v>
      </c>
      <c r="G80" s="19" t="n">
        <f aca="false">IF(B80&lt;=0,0,MAX(0,(B80-C80)*'Loan Calculator'!B7))</f>
        <v>0</v>
      </c>
      <c r="H80" s="19" t="n">
        <f aca="false">IF(B80&lt;=0,0,F80-G80)</f>
        <v>0</v>
      </c>
      <c r="I80" s="19" t="n">
        <f aca="false">IF(B80&lt;=0,0,MAX(0,B80-C80-H80))</f>
        <v>0</v>
      </c>
      <c r="J80" s="19" t="n">
        <f aca="false">J79+G80</f>
        <v>1973.65586085751</v>
      </c>
    </row>
    <row r="81" customFormat="false" ht="15" hidden="false" customHeight="false" outlineLevel="0" collapsed="false">
      <c r="A81" s="21" t="n">
        <v>80</v>
      </c>
      <c r="B81" s="22" t="n">
        <f aca="false">MAX(0,I80)</f>
        <v>0</v>
      </c>
      <c r="C81" s="22" t="n">
        <f aca="false">IF(B81&lt;=0,0,IF(A81='Loan Calculator'!B12,MIN('Loan Calculator'!B11,B81),0)+IF(A81='Loan Calculator'!B14,MIN('Loan Calculator'!B13,B81),0))</f>
        <v>0</v>
      </c>
      <c r="D81" s="22" t="n">
        <f aca="false">IF(B81&lt;=0,0,'Loan Calculator'!B4)</f>
        <v>0</v>
      </c>
      <c r="E81" s="22" t="n">
        <f aca="false">IF(B81&lt;=0,0,IF(A81&gt;='Loan Calculator'!B18,'Loan Calculator'!B17,0)+IF(A81&gt;='Loan Calculator'!B20,'Loan Calculator'!B19,0)+IF(A81&gt;='Loan Calculator'!B22,'Loan Calculator'!B21,0))</f>
        <v>0</v>
      </c>
      <c r="F81" s="22" t="n">
        <f aca="false">IF(B81&lt;=0,0,MIN(D81+E81,(B81-C81)*(1+'Loan Calculator'!B7)))</f>
        <v>0</v>
      </c>
      <c r="G81" s="22" t="n">
        <f aca="false">IF(B81&lt;=0,0,MAX(0,(B81-C81)*'Loan Calculator'!B7))</f>
        <v>0</v>
      </c>
      <c r="H81" s="22" t="n">
        <f aca="false">IF(B81&lt;=0,0,F81-G81)</f>
        <v>0</v>
      </c>
      <c r="I81" s="22" t="n">
        <f aca="false">IF(B81&lt;=0,0,MAX(0,B81-C81-H81))</f>
        <v>0</v>
      </c>
      <c r="J81" s="22" t="n">
        <f aca="false">J80+G81</f>
        <v>1973.65586085751</v>
      </c>
    </row>
    <row r="82" customFormat="false" ht="15" hidden="false" customHeight="false" outlineLevel="0" collapsed="false">
      <c r="A82" s="18" t="n">
        <v>81</v>
      </c>
      <c r="B82" s="19" t="n">
        <f aca="false">MAX(0,I81)</f>
        <v>0</v>
      </c>
      <c r="C82" s="19" t="n">
        <f aca="false">IF(B82&lt;=0,0,IF(A82='Loan Calculator'!B12,MIN('Loan Calculator'!B11,B82),0)+IF(A82='Loan Calculator'!B14,MIN('Loan Calculator'!B13,B82),0))</f>
        <v>0</v>
      </c>
      <c r="D82" s="19" t="n">
        <f aca="false">IF(B82&lt;=0,0,'Loan Calculator'!B4)</f>
        <v>0</v>
      </c>
      <c r="E82" s="19" t="n">
        <f aca="false">IF(B82&lt;=0,0,IF(A82&gt;='Loan Calculator'!B18,'Loan Calculator'!B17,0)+IF(A82&gt;='Loan Calculator'!B20,'Loan Calculator'!B19,0)+IF(A82&gt;='Loan Calculator'!B22,'Loan Calculator'!B21,0))</f>
        <v>0</v>
      </c>
      <c r="F82" s="19" t="n">
        <f aca="false">IF(B82&lt;=0,0,MIN(D82+E82,(B82-C82)*(1+'Loan Calculator'!B7)))</f>
        <v>0</v>
      </c>
      <c r="G82" s="19" t="n">
        <f aca="false">IF(B82&lt;=0,0,MAX(0,(B82-C82)*'Loan Calculator'!B7))</f>
        <v>0</v>
      </c>
      <c r="H82" s="19" t="n">
        <f aca="false">IF(B82&lt;=0,0,F82-G82)</f>
        <v>0</v>
      </c>
      <c r="I82" s="19" t="n">
        <f aca="false">IF(B82&lt;=0,0,MAX(0,B82-C82-H82))</f>
        <v>0</v>
      </c>
      <c r="J82" s="19" t="n">
        <f aca="false">J81+G82</f>
        <v>1973.65586085751</v>
      </c>
    </row>
    <row r="83" customFormat="false" ht="15" hidden="false" customHeight="false" outlineLevel="0" collapsed="false">
      <c r="A83" s="21" t="n">
        <v>82</v>
      </c>
      <c r="B83" s="22" t="n">
        <f aca="false">MAX(0,I82)</f>
        <v>0</v>
      </c>
      <c r="C83" s="22" t="n">
        <f aca="false">IF(B83&lt;=0,0,IF(A83='Loan Calculator'!B12,MIN('Loan Calculator'!B11,B83),0)+IF(A83='Loan Calculator'!B14,MIN('Loan Calculator'!B13,B83),0))</f>
        <v>0</v>
      </c>
      <c r="D83" s="22" t="n">
        <f aca="false">IF(B83&lt;=0,0,'Loan Calculator'!B4)</f>
        <v>0</v>
      </c>
      <c r="E83" s="22" t="n">
        <f aca="false">IF(B83&lt;=0,0,IF(A83&gt;='Loan Calculator'!B18,'Loan Calculator'!B17,0)+IF(A83&gt;='Loan Calculator'!B20,'Loan Calculator'!B19,0)+IF(A83&gt;='Loan Calculator'!B22,'Loan Calculator'!B21,0))</f>
        <v>0</v>
      </c>
      <c r="F83" s="22" t="n">
        <f aca="false">IF(B83&lt;=0,0,MIN(D83+E83,(B83-C83)*(1+'Loan Calculator'!B7)))</f>
        <v>0</v>
      </c>
      <c r="G83" s="22" t="n">
        <f aca="false">IF(B83&lt;=0,0,MAX(0,(B83-C83)*'Loan Calculator'!B7))</f>
        <v>0</v>
      </c>
      <c r="H83" s="22" t="n">
        <f aca="false">IF(B83&lt;=0,0,F83-G83)</f>
        <v>0</v>
      </c>
      <c r="I83" s="22" t="n">
        <f aca="false">IF(B83&lt;=0,0,MAX(0,B83-C83-H83))</f>
        <v>0</v>
      </c>
      <c r="J83" s="22" t="n">
        <f aca="false">J82+G83</f>
        <v>1973.65586085751</v>
      </c>
    </row>
    <row r="84" customFormat="false" ht="15" hidden="false" customHeight="false" outlineLevel="0" collapsed="false">
      <c r="A84" s="18" t="n">
        <v>83</v>
      </c>
      <c r="B84" s="19" t="n">
        <f aca="false">MAX(0,I83)</f>
        <v>0</v>
      </c>
      <c r="C84" s="19" t="n">
        <f aca="false">IF(B84&lt;=0,0,IF(A84='Loan Calculator'!B12,MIN('Loan Calculator'!B11,B84),0)+IF(A84='Loan Calculator'!B14,MIN('Loan Calculator'!B13,B84),0))</f>
        <v>0</v>
      </c>
      <c r="D84" s="19" t="n">
        <f aca="false">IF(B84&lt;=0,0,'Loan Calculator'!B4)</f>
        <v>0</v>
      </c>
      <c r="E84" s="19" t="n">
        <f aca="false">IF(B84&lt;=0,0,IF(A84&gt;='Loan Calculator'!B18,'Loan Calculator'!B17,0)+IF(A84&gt;='Loan Calculator'!B20,'Loan Calculator'!B19,0)+IF(A84&gt;='Loan Calculator'!B22,'Loan Calculator'!B21,0))</f>
        <v>0</v>
      </c>
      <c r="F84" s="19" t="n">
        <f aca="false">IF(B84&lt;=0,0,MIN(D84+E84,(B84-C84)*(1+'Loan Calculator'!B7)))</f>
        <v>0</v>
      </c>
      <c r="G84" s="19" t="n">
        <f aca="false">IF(B84&lt;=0,0,MAX(0,(B84-C84)*'Loan Calculator'!B7))</f>
        <v>0</v>
      </c>
      <c r="H84" s="19" t="n">
        <f aca="false">IF(B84&lt;=0,0,F84-G84)</f>
        <v>0</v>
      </c>
      <c r="I84" s="19" t="n">
        <f aca="false">IF(B84&lt;=0,0,MAX(0,B84-C84-H84))</f>
        <v>0</v>
      </c>
      <c r="J84" s="19" t="n">
        <f aca="false">J83+G84</f>
        <v>1973.65586085751</v>
      </c>
    </row>
    <row r="85" customFormat="false" ht="15" hidden="false" customHeight="false" outlineLevel="0" collapsed="false">
      <c r="A85" s="21" t="n">
        <v>84</v>
      </c>
      <c r="B85" s="22" t="n">
        <f aca="false">MAX(0,I84)</f>
        <v>0</v>
      </c>
      <c r="C85" s="22" t="n">
        <f aca="false">IF(B85&lt;=0,0,IF(A85='Loan Calculator'!B12,MIN('Loan Calculator'!B11,B85),0)+IF(A85='Loan Calculator'!B14,MIN('Loan Calculator'!B13,B85),0))</f>
        <v>0</v>
      </c>
      <c r="D85" s="22" t="n">
        <f aca="false">IF(B85&lt;=0,0,'Loan Calculator'!B4)</f>
        <v>0</v>
      </c>
      <c r="E85" s="22" t="n">
        <f aca="false">IF(B85&lt;=0,0,IF(A85&gt;='Loan Calculator'!B18,'Loan Calculator'!B17,0)+IF(A85&gt;='Loan Calculator'!B20,'Loan Calculator'!B19,0)+IF(A85&gt;='Loan Calculator'!B22,'Loan Calculator'!B21,0))</f>
        <v>0</v>
      </c>
      <c r="F85" s="22" t="n">
        <f aca="false">IF(B85&lt;=0,0,MIN(D85+E85,(B85-C85)*(1+'Loan Calculator'!B7)))</f>
        <v>0</v>
      </c>
      <c r="G85" s="22" t="n">
        <f aca="false">IF(B85&lt;=0,0,MAX(0,(B85-C85)*'Loan Calculator'!B7))</f>
        <v>0</v>
      </c>
      <c r="H85" s="22" t="n">
        <f aca="false">IF(B85&lt;=0,0,F85-G85)</f>
        <v>0</v>
      </c>
      <c r="I85" s="22" t="n">
        <f aca="false">IF(B85&lt;=0,0,MAX(0,B85-C85-H85))</f>
        <v>0</v>
      </c>
      <c r="J85" s="22" t="n">
        <f aca="false">J84+G85</f>
        <v>1973.65586085751</v>
      </c>
    </row>
    <row r="86" customFormat="false" ht="15" hidden="false" customHeight="false" outlineLevel="0" collapsed="false">
      <c r="A86" s="18" t="n">
        <v>85</v>
      </c>
      <c r="B86" s="19" t="n">
        <f aca="false">MAX(0,I85)</f>
        <v>0</v>
      </c>
      <c r="C86" s="19" t="n">
        <f aca="false">IF(B86&lt;=0,0,IF(A86='Loan Calculator'!B12,MIN('Loan Calculator'!B11,B86),0)+IF(A86='Loan Calculator'!B14,MIN('Loan Calculator'!B13,B86),0))</f>
        <v>0</v>
      </c>
      <c r="D86" s="19" t="n">
        <f aca="false">IF(B86&lt;=0,0,'Loan Calculator'!B4)</f>
        <v>0</v>
      </c>
      <c r="E86" s="19" t="n">
        <f aca="false">IF(B86&lt;=0,0,IF(A86&gt;='Loan Calculator'!B18,'Loan Calculator'!B17,0)+IF(A86&gt;='Loan Calculator'!B20,'Loan Calculator'!B19,0)+IF(A86&gt;='Loan Calculator'!B22,'Loan Calculator'!B21,0))</f>
        <v>0</v>
      </c>
      <c r="F86" s="19" t="n">
        <f aca="false">IF(B86&lt;=0,0,MIN(D86+E86,(B86-C86)*(1+'Loan Calculator'!B7)))</f>
        <v>0</v>
      </c>
      <c r="G86" s="19" t="n">
        <f aca="false">IF(B86&lt;=0,0,MAX(0,(B86-C86)*'Loan Calculator'!B7))</f>
        <v>0</v>
      </c>
      <c r="H86" s="19" t="n">
        <f aca="false">IF(B86&lt;=0,0,F86-G86)</f>
        <v>0</v>
      </c>
      <c r="I86" s="19" t="n">
        <f aca="false">IF(B86&lt;=0,0,MAX(0,B86-C86-H86))</f>
        <v>0</v>
      </c>
      <c r="J86" s="19" t="n">
        <f aca="false">J85+G86</f>
        <v>1973.65586085751</v>
      </c>
    </row>
    <row r="87" customFormat="false" ht="15" hidden="false" customHeight="false" outlineLevel="0" collapsed="false">
      <c r="A87" s="21" t="n">
        <v>86</v>
      </c>
      <c r="B87" s="22" t="n">
        <f aca="false">MAX(0,I86)</f>
        <v>0</v>
      </c>
      <c r="C87" s="22" t="n">
        <f aca="false">IF(B87&lt;=0,0,IF(A87='Loan Calculator'!B12,MIN('Loan Calculator'!B11,B87),0)+IF(A87='Loan Calculator'!B14,MIN('Loan Calculator'!B13,B87),0))</f>
        <v>0</v>
      </c>
      <c r="D87" s="22" t="n">
        <f aca="false">IF(B87&lt;=0,0,'Loan Calculator'!B4)</f>
        <v>0</v>
      </c>
      <c r="E87" s="22" t="n">
        <f aca="false">IF(B87&lt;=0,0,IF(A87&gt;='Loan Calculator'!B18,'Loan Calculator'!B17,0)+IF(A87&gt;='Loan Calculator'!B20,'Loan Calculator'!B19,0)+IF(A87&gt;='Loan Calculator'!B22,'Loan Calculator'!B21,0))</f>
        <v>0</v>
      </c>
      <c r="F87" s="22" t="n">
        <f aca="false">IF(B87&lt;=0,0,MIN(D87+E87,(B87-C87)*(1+'Loan Calculator'!B7)))</f>
        <v>0</v>
      </c>
      <c r="G87" s="22" t="n">
        <f aca="false">IF(B87&lt;=0,0,MAX(0,(B87-C87)*'Loan Calculator'!B7))</f>
        <v>0</v>
      </c>
      <c r="H87" s="22" t="n">
        <f aca="false">IF(B87&lt;=0,0,F87-G87)</f>
        <v>0</v>
      </c>
      <c r="I87" s="22" t="n">
        <f aca="false">IF(B87&lt;=0,0,MAX(0,B87-C87-H87))</f>
        <v>0</v>
      </c>
      <c r="J87" s="22" t="n">
        <f aca="false">J86+G87</f>
        <v>1973.65586085751</v>
      </c>
    </row>
    <row r="88" customFormat="false" ht="15" hidden="false" customHeight="false" outlineLevel="0" collapsed="false">
      <c r="A88" s="18" t="n">
        <v>87</v>
      </c>
      <c r="B88" s="19" t="n">
        <f aca="false">MAX(0,I87)</f>
        <v>0</v>
      </c>
      <c r="C88" s="19" t="n">
        <f aca="false">IF(B88&lt;=0,0,IF(A88='Loan Calculator'!B12,MIN('Loan Calculator'!B11,B88),0)+IF(A88='Loan Calculator'!B14,MIN('Loan Calculator'!B13,B88),0))</f>
        <v>0</v>
      </c>
      <c r="D88" s="19" t="n">
        <f aca="false">IF(B88&lt;=0,0,'Loan Calculator'!B4)</f>
        <v>0</v>
      </c>
      <c r="E88" s="19" t="n">
        <f aca="false">IF(B88&lt;=0,0,IF(A88&gt;='Loan Calculator'!B18,'Loan Calculator'!B17,0)+IF(A88&gt;='Loan Calculator'!B20,'Loan Calculator'!B19,0)+IF(A88&gt;='Loan Calculator'!B22,'Loan Calculator'!B21,0))</f>
        <v>0</v>
      </c>
      <c r="F88" s="19" t="n">
        <f aca="false">IF(B88&lt;=0,0,MIN(D88+E88,(B88-C88)*(1+'Loan Calculator'!B7)))</f>
        <v>0</v>
      </c>
      <c r="G88" s="19" t="n">
        <f aca="false">IF(B88&lt;=0,0,MAX(0,(B88-C88)*'Loan Calculator'!B7))</f>
        <v>0</v>
      </c>
      <c r="H88" s="19" t="n">
        <f aca="false">IF(B88&lt;=0,0,F88-G88)</f>
        <v>0</v>
      </c>
      <c r="I88" s="19" t="n">
        <f aca="false">IF(B88&lt;=0,0,MAX(0,B88-C88-H88))</f>
        <v>0</v>
      </c>
      <c r="J88" s="19" t="n">
        <f aca="false">J87+G88</f>
        <v>1973.65586085751</v>
      </c>
    </row>
    <row r="89" customFormat="false" ht="15" hidden="false" customHeight="false" outlineLevel="0" collapsed="false">
      <c r="A89" s="21" t="n">
        <v>88</v>
      </c>
      <c r="B89" s="22" t="n">
        <f aca="false">MAX(0,I88)</f>
        <v>0</v>
      </c>
      <c r="C89" s="22" t="n">
        <f aca="false">IF(B89&lt;=0,0,IF(A89='Loan Calculator'!B12,MIN('Loan Calculator'!B11,B89),0)+IF(A89='Loan Calculator'!B14,MIN('Loan Calculator'!B13,B89),0))</f>
        <v>0</v>
      </c>
      <c r="D89" s="22" t="n">
        <f aca="false">IF(B89&lt;=0,0,'Loan Calculator'!B4)</f>
        <v>0</v>
      </c>
      <c r="E89" s="22" t="n">
        <f aca="false">IF(B89&lt;=0,0,IF(A89&gt;='Loan Calculator'!B18,'Loan Calculator'!B17,0)+IF(A89&gt;='Loan Calculator'!B20,'Loan Calculator'!B19,0)+IF(A89&gt;='Loan Calculator'!B22,'Loan Calculator'!B21,0))</f>
        <v>0</v>
      </c>
      <c r="F89" s="22" t="n">
        <f aca="false">IF(B89&lt;=0,0,MIN(D89+E89,(B89-C89)*(1+'Loan Calculator'!B7)))</f>
        <v>0</v>
      </c>
      <c r="G89" s="22" t="n">
        <f aca="false">IF(B89&lt;=0,0,MAX(0,(B89-C89)*'Loan Calculator'!B7))</f>
        <v>0</v>
      </c>
      <c r="H89" s="22" t="n">
        <f aca="false">IF(B89&lt;=0,0,F89-G89)</f>
        <v>0</v>
      </c>
      <c r="I89" s="22" t="n">
        <f aca="false">IF(B89&lt;=0,0,MAX(0,B89-C89-H89))</f>
        <v>0</v>
      </c>
      <c r="J89" s="22" t="n">
        <f aca="false">J88+G89</f>
        <v>1973.65586085751</v>
      </c>
    </row>
    <row r="90" customFormat="false" ht="15" hidden="false" customHeight="false" outlineLevel="0" collapsed="false">
      <c r="A90" s="18" t="n">
        <v>89</v>
      </c>
      <c r="B90" s="19" t="n">
        <f aca="false">MAX(0,I89)</f>
        <v>0</v>
      </c>
      <c r="C90" s="19" t="n">
        <f aca="false">IF(B90&lt;=0,0,IF(A90='Loan Calculator'!B12,MIN('Loan Calculator'!B11,B90),0)+IF(A90='Loan Calculator'!B14,MIN('Loan Calculator'!B13,B90),0))</f>
        <v>0</v>
      </c>
      <c r="D90" s="19" t="n">
        <f aca="false">IF(B90&lt;=0,0,'Loan Calculator'!B4)</f>
        <v>0</v>
      </c>
      <c r="E90" s="19" t="n">
        <f aca="false">IF(B90&lt;=0,0,IF(A90&gt;='Loan Calculator'!B18,'Loan Calculator'!B17,0)+IF(A90&gt;='Loan Calculator'!B20,'Loan Calculator'!B19,0)+IF(A90&gt;='Loan Calculator'!B22,'Loan Calculator'!B21,0))</f>
        <v>0</v>
      </c>
      <c r="F90" s="19" t="n">
        <f aca="false">IF(B90&lt;=0,0,MIN(D90+E90,(B90-C90)*(1+'Loan Calculator'!B7)))</f>
        <v>0</v>
      </c>
      <c r="G90" s="19" t="n">
        <f aca="false">IF(B90&lt;=0,0,MAX(0,(B90-C90)*'Loan Calculator'!B7))</f>
        <v>0</v>
      </c>
      <c r="H90" s="19" t="n">
        <f aca="false">IF(B90&lt;=0,0,F90-G90)</f>
        <v>0</v>
      </c>
      <c r="I90" s="19" t="n">
        <f aca="false">IF(B90&lt;=0,0,MAX(0,B90-C90-H90))</f>
        <v>0</v>
      </c>
      <c r="J90" s="19" t="n">
        <f aca="false">J89+G90</f>
        <v>1973.65586085751</v>
      </c>
    </row>
    <row r="91" customFormat="false" ht="15" hidden="false" customHeight="false" outlineLevel="0" collapsed="false">
      <c r="A91" s="21" t="n">
        <v>90</v>
      </c>
      <c r="B91" s="22" t="n">
        <f aca="false">MAX(0,I90)</f>
        <v>0</v>
      </c>
      <c r="C91" s="22" t="n">
        <f aca="false">IF(B91&lt;=0,0,IF(A91='Loan Calculator'!B12,MIN('Loan Calculator'!B11,B91),0)+IF(A91='Loan Calculator'!B14,MIN('Loan Calculator'!B13,B91),0))</f>
        <v>0</v>
      </c>
      <c r="D91" s="22" t="n">
        <f aca="false">IF(B91&lt;=0,0,'Loan Calculator'!B4)</f>
        <v>0</v>
      </c>
      <c r="E91" s="22" t="n">
        <f aca="false">IF(B91&lt;=0,0,IF(A91&gt;='Loan Calculator'!B18,'Loan Calculator'!B17,0)+IF(A91&gt;='Loan Calculator'!B20,'Loan Calculator'!B19,0)+IF(A91&gt;='Loan Calculator'!B22,'Loan Calculator'!B21,0))</f>
        <v>0</v>
      </c>
      <c r="F91" s="22" t="n">
        <f aca="false">IF(B91&lt;=0,0,MIN(D91+E91,(B91-C91)*(1+'Loan Calculator'!B7)))</f>
        <v>0</v>
      </c>
      <c r="G91" s="22" t="n">
        <f aca="false">IF(B91&lt;=0,0,MAX(0,(B91-C91)*'Loan Calculator'!B7))</f>
        <v>0</v>
      </c>
      <c r="H91" s="22" t="n">
        <f aca="false">IF(B91&lt;=0,0,F91-G91)</f>
        <v>0</v>
      </c>
      <c r="I91" s="22" t="n">
        <f aca="false">IF(B91&lt;=0,0,MAX(0,B91-C91-H91))</f>
        <v>0</v>
      </c>
      <c r="J91" s="22" t="n">
        <f aca="false">J90+G91</f>
        <v>1973.65586085751</v>
      </c>
    </row>
    <row r="92" customFormat="false" ht="15" hidden="false" customHeight="false" outlineLevel="0" collapsed="false">
      <c r="A92" s="18" t="n">
        <v>91</v>
      </c>
      <c r="B92" s="19" t="n">
        <f aca="false">MAX(0,I91)</f>
        <v>0</v>
      </c>
      <c r="C92" s="19" t="n">
        <f aca="false">IF(B92&lt;=0,0,IF(A92='Loan Calculator'!B12,MIN('Loan Calculator'!B11,B92),0)+IF(A92='Loan Calculator'!B14,MIN('Loan Calculator'!B13,B92),0))</f>
        <v>0</v>
      </c>
      <c r="D92" s="19" t="n">
        <f aca="false">IF(B92&lt;=0,0,'Loan Calculator'!B4)</f>
        <v>0</v>
      </c>
      <c r="E92" s="19" t="n">
        <f aca="false">IF(B92&lt;=0,0,IF(A92&gt;='Loan Calculator'!B18,'Loan Calculator'!B17,0)+IF(A92&gt;='Loan Calculator'!B20,'Loan Calculator'!B19,0)+IF(A92&gt;='Loan Calculator'!B22,'Loan Calculator'!B21,0))</f>
        <v>0</v>
      </c>
      <c r="F92" s="19" t="n">
        <f aca="false">IF(B92&lt;=0,0,MIN(D92+E92,(B92-C92)*(1+'Loan Calculator'!B7)))</f>
        <v>0</v>
      </c>
      <c r="G92" s="19" t="n">
        <f aca="false">IF(B92&lt;=0,0,MAX(0,(B92-C92)*'Loan Calculator'!B7))</f>
        <v>0</v>
      </c>
      <c r="H92" s="19" t="n">
        <f aca="false">IF(B92&lt;=0,0,F92-G92)</f>
        <v>0</v>
      </c>
      <c r="I92" s="19" t="n">
        <f aca="false">IF(B92&lt;=0,0,MAX(0,B92-C92-H92))</f>
        <v>0</v>
      </c>
      <c r="J92" s="19" t="n">
        <f aca="false">J91+G92</f>
        <v>1973.65586085751</v>
      </c>
    </row>
    <row r="93" customFormat="false" ht="15" hidden="false" customHeight="false" outlineLevel="0" collapsed="false">
      <c r="A93" s="21" t="n">
        <v>92</v>
      </c>
      <c r="B93" s="22" t="n">
        <f aca="false">MAX(0,I92)</f>
        <v>0</v>
      </c>
      <c r="C93" s="22" t="n">
        <f aca="false">IF(B93&lt;=0,0,IF(A93='Loan Calculator'!B12,MIN('Loan Calculator'!B11,B93),0)+IF(A93='Loan Calculator'!B14,MIN('Loan Calculator'!B13,B93),0))</f>
        <v>0</v>
      </c>
      <c r="D93" s="22" t="n">
        <f aca="false">IF(B93&lt;=0,0,'Loan Calculator'!B4)</f>
        <v>0</v>
      </c>
      <c r="E93" s="22" t="n">
        <f aca="false">IF(B93&lt;=0,0,IF(A93&gt;='Loan Calculator'!B18,'Loan Calculator'!B17,0)+IF(A93&gt;='Loan Calculator'!B20,'Loan Calculator'!B19,0)+IF(A93&gt;='Loan Calculator'!B22,'Loan Calculator'!B21,0))</f>
        <v>0</v>
      </c>
      <c r="F93" s="22" t="n">
        <f aca="false">IF(B93&lt;=0,0,MIN(D93+E93,(B93-C93)*(1+'Loan Calculator'!B7)))</f>
        <v>0</v>
      </c>
      <c r="G93" s="22" t="n">
        <f aca="false">IF(B93&lt;=0,0,MAX(0,(B93-C93)*'Loan Calculator'!B7))</f>
        <v>0</v>
      </c>
      <c r="H93" s="22" t="n">
        <f aca="false">IF(B93&lt;=0,0,F93-G93)</f>
        <v>0</v>
      </c>
      <c r="I93" s="22" t="n">
        <f aca="false">IF(B93&lt;=0,0,MAX(0,B93-C93-H93))</f>
        <v>0</v>
      </c>
      <c r="J93" s="22" t="n">
        <f aca="false">J92+G93</f>
        <v>1973.65586085751</v>
      </c>
    </row>
    <row r="94" customFormat="false" ht="15" hidden="false" customHeight="false" outlineLevel="0" collapsed="false">
      <c r="A94" s="18" t="n">
        <v>93</v>
      </c>
      <c r="B94" s="19" t="n">
        <f aca="false">MAX(0,I93)</f>
        <v>0</v>
      </c>
      <c r="C94" s="19" t="n">
        <f aca="false">IF(B94&lt;=0,0,IF(A94='Loan Calculator'!B12,MIN('Loan Calculator'!B11,B94),0)+IF(A94='Loan Calculator'!B14,MIN('Loan Calculator'!B13,B94),0))</f>
        <v>0</v>
      </c>
      <c r="D94" s="19" t="n">
        <f aca="false">IF(B94&lt;=0,0,'Loan Calculator'!B4)</f>
        <v>0</v>
      </c>
      <c r="E94" s="19" t="n">
        <f aca="false">IF(B94&lt;=0,0,IF(A94&gt;='Loan Calculator'!B18,'Loan Calculator'!B17,0)+IF(A94&gt;='Loan Calculator'!B20,'Loan Calculator'!B19,0)+IF(A94&gt;='Loan Calculator'!B22,'Loan Calculator'!B21,0))</f>
        <v>0</v>
      </c>
      <c r="F94" s="19" t="n">
        <f aca="false">IF(B94&lt;=0,0,MIN(D94+E94,(B94-C94)*(1+'Loan Calculator'!B7)))</f>
        <v>0</v>
      </c>
      <c r="G94" s="19" t="n">
        <f aca="false">IF(B94&lt;=0,0,MAX(0,(B94-C94)*'Loan Calculator'!B7))</f>
        <v>0</v>
      </c>
      <c r="H94" s="19" t="n">
        <f aca="false">IF(B94&lt;=0,0,F94-G94)</f>
        <v>0</v>
      </c>
      <c r="I94" s="19" t="n">
        <f aca="false">IF(B94&lt;=0,0,MAX(0,B94-C94-H94))</f>
        <v>0</v>
      </c>
      <c r="J94" s="19" t="n">
        <f aca="false">J93+G94</f>
        <v>1973.65586085751</v>
      </c>
    </row>
    <row r="95" customFormat="false" ht="15" hidden="false" customHeight="false" outlineLevel="0" collapsed="false">
      <c r="A95" s="21" t="n">
        <v>94</v>
      </c>
      <c r="B95" s="22" t="n">
        <f aca="false">MAX(0,I94)</f>
        <v>0</v>
      </c>
      <c r="C95" s="22" t="n">
        <f aca="false">IF(B95&lt;=0,0,IF(A95='Loan Calculator'!B12,MIN('Loan Calculator'!B11,B95),0)+IF(A95='Loan Calculator'!B14,MIN('Loan Calculator'!B13,B95),0))</f>
        <v>0</v>
      </c>
      <c r="D95" s="22" t="n">
        <f aca="false">IF(B95&lt;=0,0,'Loan Calculator'!B4)</f>
        <v>0</v>
      </c>
      <c r="E95" s="22" t="n">
        <f aca="false">IF(B95&lt;=0,0,IF(A95&gt;='Loan Calculator'!B18,'Loan Calculator'!B17,0)+IF(A95&gt;='Loan Calculator'!B20,'Loan Calculator'!B19,0)+IF(A95&gt;='Loan Calculator'!B22,'Loan Calculator'!B21,0))</f>
        <v>0</v>
      </c>
      <c r="F95" s="22" t="n">
        <f aca="false">IF(B95&lt;=0,0,MIN(D95+E95,(B95-C95)*(1+'Loan Calculator'!B7)))</f>
        <v>0</v>
      </c>
      <c r="G95" s="22" t="n">
        <f aca="false">IF(B95&lt;=0,0,MAX(0,(B95-C95)*'Loan Calculator'!B7))</f>
        <v>0</v>
      </c>
      <c r="H95" s="22" t="n">
        <f aca="false">IF(B95&lt;=0,0,F95-G95)</f>
        <v>0</v>
      </c>
      <c r="I95" s="22" t="n">
        <f aca="false">IF(B95&lt;=0,0,MAX(0,B95-C95-H95))</f>
        <v>0</v>
      </c>
      <c r="J95" s="22" t="n">
        <f aca="false">J94+G95</f>
        <v>1973.65586085751</v>
      </c>
    </row>
    <row r="96" customFormat="false" ht="15" hidden="false" customHeight="false" outlineLevel="0" collapsed="false">
      <c r="A96" s="18" t="n">
        <v>95</v>
      </c>
      <c r="B96" s="19" t="n">
        <f aca="false">MAX(0,I95)</f>
        <v>0</v>
      </c>
      <c r="C96" s="19" t="n">
        <f aca="false">IF(B96&lt;=0,0,IF(A96='Loan Calculator'!B12,MIN('Loan Calculator'!B11,B96),0)+IF(A96='Loan Calculator'!B14,MIN('Loan Calculator'!B13,B96),0))</f>
        <v>0</v>
      </c>
      <c r="D96" s="19" t="n">
        <f aca="false">IF(B96&lt;=0,0,'Loan Calculator'!B4)</f>
        <v>0</v>
      </c>
      <c r="E96" s="19" t="n">
        <f aca="false">IF(B96&lt;=0,0,IF(A96&gt;='Loan Calculator'!B18,'Loan Calculator'!B17,0)+IF(A96&gt;='Loan Calculator'!B20,'Loan Calculator'!B19,0)+IF(A96&gt;='Loan Calculator'!B22,'Loan Calculator'!B21,0))</f>
        <v>0</v>
      </c>
      <c r="F96" s="19" t="n">
        <f aca="false">IF(B96&lt;=0,0,MIN(D96+E96,(B96-C96)*(1+'Loan Calculator'!B7)))</f>
        <v>0</v>
      </c>
      <c r="G96" s="19" t="n">
        <f aca="false">IF(B96&lt;=0,0,MAX(0,(B96-C96)*'Loan Calculator'!B7))</f>
        <v>0</v>
      </c>
      <c r="H96" s="19" t="n">
        <f aca="false">IF(B96&lt;=0,0,F96-G96)</f>
        <v>0</v>
      </c>
      <c r="I96" s="19" t="n">
        <f aca="false">IF(B96&lt;=0,0,MAX(0,B96-C96-H96))</f>
        <v>0</v>
      </c>
      <c r="J96" s="19" t="n">
        <f aca="false">J95+G96</f>
        <v>1973.65586085751</v>
      </c>
    </row>
    <row r="97" customFormat="false" ht="15" hidden="false" customHeight="false" outlineLevel="0" collapsed="false">
      <c r="A97" s="21" t="n">
        <v>96</v>
      </c>
      <c r="B97" s="22" t="n">
        <f aca="false">MAX(0,I96)</f>
        <v>0</v>
      </c>
      <c r="C97" s="22" t="n">
        <f aca="false">IF(B97&lt;=0,0,IF(A97='Loan Calculator'!B12,MIN('Loan Calculator'!B11,B97),0)+IF(A97='Loan Calculator'!B14,MIN('Loan Calculator'!B13,B97),0))</f>
        <v>0</v>
      </c>
      <c r="D97" s="22" t="n">
        <f aca="false">IF(B97&lt;=0,0,'Loan Calculator'!B4)</f>
        <v>0</v>
      </c>
      <c r="E97" s="22" t="n">
        <f aca="false">IF(B97&lt;=0,0,IF(A97&gt;='Loan Calculator'!B18,'Loan Calculator'!B17,0)+IF(A97&gt;='Loan Calculator'!B20,'Loan Calculator'!B19,0)+IF(A97&gt;='Loan Calculator'!B22,'Loan Calculator'!B21,0))</f>
        <v>0</v>
      </c>
      <c r="F97" s="22" t="n">
        <f aca="false">IF(B97&lt;=0,0,MIN(D97+E97,(B97-C97)*(1+'Loan Calculator'!B7)))</f>
        <v>0</v>
      </c>
      <c r="G97" s="22" t="n">
        <f aca="false">IF(B97&lt;=0,0,MAX(0,(B97-C97)*'Loan Calculator'!B7))</f>
        <v>0</v>
      </c>
      <c r="H97" s="22" t="n">
        <f aca="false">IF(B97&lt;=0,0,F97-G97)</f>
        <v>0</v>
      </c>
      <c r="I97" s="22" t="n">
        <f aca="false">IF(B97&lt;=0,0,MAX(0,B97-C97-H97))</f>
        <v>0</v>
      </c>
      <c r="J97" s="22" t="n">
        <f aca="false">J96+G97</f>
        <v>1973.65586085751</v>
      </c>
    </row>
    <row r="98" customFormat="false" ht="15" hidden="false" customHeight="false" outlineLevel="0" collapsed="false">
      <c r="A98" s="18" t="n">
        <v>97</v>
      </c>
      <c r="B98" s="19" t="n">
        <f aca="false">MAX(0,I97)</f>
        <v>0</v>
      </c>
      <c r="C98" s="19" t="n">
        <f aca="false">IF(B98&lt;=0,0,IF(A98='Loan Calculator'!B12,MIN('Loan Calculator'!B11,B98),0)+IF(A98='Loan Calculator'!B14,MIN('Loan Calculator'!B13,B98),0))</f>
        <v>0</v>
      </c>
      <c r="D98" s="19" t="n">
        <f aca="false">IF(B98&lt;=0,0,'Loan Calculator'!B4)</f>
        <v>0</v>
      </c>
      <c r="E98" s="19" t="n">
        <f aca="false">IF(B98&lt;=0,0,IF(A98&gt;='Loan Calculator'!B18,'Loan Calculator'!B17,0)+IF(A98&gt;='Loan Calculator'!B20,'Loan Calculator'!B19,0)+IF(A98&gt;='Loan Calculator'!B22,'Loan Calculator'!B21,0))</f>
        <v>0</v>
      </c>
      <c r="F98" s="19" t="n">
        <f aca="false">IF(B98&lt;=0,0,MIN(D98+E98,(B98-C98)*(1+'Loan Calculator'!B7)))</f>
        <v>0</v>
      </c>
      <c r="G98" s="19" t="n">
        <f aca="false">IF(B98&lt;=0,0,MAX(0,(B98-C98)*'Loan Calculator'!B7))</f>
        <v>0</v>
      </c>
      <c r="H98" s="19" t="n">
        <f aca="false">IF(B98&lt;=0,0,F98-G98)</f>
        <v>0</v>
      </c>
      <c r="I98" s="19" t="n">
        <f aca="false">IF(B98&lt;=0,0,MAX(0,B98-C98-H98))</f>
        <v>0</v>
      </c>
      <c r="J98" s="19" t="n">
        <f aca="false">J97+G98</f>
        <v>1973.65586085751</v>
      </c>
    </row>
    <row r="99" customFormat="false" ht="15" hidden="false" customHeight="false" outlineLevel="0" collapsed="false">
      <c r="A99" s="21" t="n">
        <v>98</v>
      </c>
      <c r="B99" s="22" t="n">
        <f aca="false">MAX(0,I98)</f>
        <v>0</v>
      </c>
      <c r="C99" s="22" t="n">
        <f aca="false">IF(B99&lt;=0,0,IF(A99='Loan Calculator'!B12,MIN('Loan Calculator'!B11,B99),0)+IF(A99='Loan Calculator'!B14,MIN('Loan Calculator'!B13,B99),0))</f>
        <v>0</v>
      </c>
      <c r="D99" s="22" t="n">
        <f aca="false">IF(B99&lt;=0,0,'Loan Calculator'!B4)</f>
        <v>0</v>
      </c>
      <c r="E99" s="22" t="n">
        <f aca="false">IF(B99&lt;=0,0,IF(A99&gt;='Loan Calculator'!B18,'Loan Calculator'!B17,0)+IF(A99&gt;='Loan Calculator'!B20,'Loan Calculator'!B19,0)+IF(A99&gt;='Loan Calculator'!B22,'Loan Calculator'!B21,0))</f>
        <v>0</v>
      </c>
      <c r="F99" s="22" t="n">
        <f aca="false">IF(B99&lt;=0,0,MIN(D99+E99,(B99-C99)*(1+'Loan Calculator'!B7)))</f>
        <v>0</v>
      </c>
      <c r="G99" s="22" t="n">
        <f aca="false">IF(B99&lt;=0,0,MAX(0,(B99-C99)*'Loan Calculator'!B7))</f>
        <v>0</v>
      </c>
      <c r="H99" s="22" t="n">
        <f aca="false">IF(B99&lt;=0,0,F99-G99)</f>
        <v>0</v>
      </c>
      <c r="I99" s="22" t="n">
        <f aca="false">IF(B99&lt;=0,0,MAX(0,B99-C99-H99))</f>
        <v>0</v>
      </c>
      <c r="J99" s="22" t="n">
        <f aca="false">J98+G99</f>
        <v>1973.65586085751</v>
      </c>
    </row>
    <row r="100" customFormat="false" ht="15" hidden="false" customHeight="false" outlineLevel="0" collapsed="false">
      <c r="A100" s="18" t="n">
        <v>99</v>
      </c>
      <c r="B100" s="19" t="n">
        <f aca="false">MAX(0,I99)</f>
        <v>0</v>
      </c>
      <c r="C100" s="19" t="n">
        <f aca="false">IF(B100&lt;=0,0,IF(A100='Loan Calculator'!B12,MIN('Loan Calculator'!B11,B100),0)+IF(A100='Loan Calculator'!B14,MIN('Loan Calculator'!B13,B100),0))</f>
        <v>0</v>
      </c>
      <c r="D100" s="19" t="n">
        <f aca="false">IF(B100&lt;=0,0,'Loan Calculator'!B4)</f>
        <v>0</v>
      </c>
      <c r="E100" s="19" t="n">
        <f aca="false">IF(B100&lt;=0,0,IF(A100&gt;='Loan Calculator'!B18,'Loan Calculator'!B17,0)+IF(A100&gt;='Loan Calculator'!B20,'Loan Calculator'!B19,0)+IF(A100&gt;='Loan Calculator'!B22,'Loan Calculator'!B21,0))</f>
        <v>0</v>
      </c>
      <c r="F100" s="19" t="n">
        <f aca="false">IF(B100&lt;=0,0,MIN(D100+E100,(B100-C100)*(1+'Loan Calculator'!B7)))</f>
        <v>0</v>
      </c>
      <c r="G100" s="19" t="n">
        <f aca="false">IF(B100&lt;=0,0,MAX(0,(B100-C100)*'Loan Calculator'!B7))</f>
        <v>0</v>
      </c>
      <c r="H100" s="19" t="n">
        <f aca="false">IF(B100&lt;=0,0,F100-G100)</f>
        <v>0</v>
      </c>
      <c r="I100" s="19" t="n">
        <f aca="false">IF(B100&lt;=0,0,MAX(0,B100-C100-H100))</f>
        <v>0</v>
      </c>
      <c r="J100" s="19" t="n">
        <f aca="false">J99+G100</f>
        <v>1973.65586085751</v>
      </c>
    </row>
    <row r="101" customFormat="false" ht="15" hidden="false" customHeight="false" outlineLevel="0" collapsed="false">
      <c r="A101" s="21" t="n">
        <v>100</v>
      </c>
      <c r="B101" s="22" t="n">
        <f aca="false">MAX(0,I100)</f>
        <v>0</v>
      </c>
      <c r="C101" s="22" t="n">
        <f aca="false">IF(B101&lt;=0,0,IF(A101='Loan Calculator'!B12,MIN('Loan Calculator'!B11,B101),0)+IF(A101='Loan Calculator'!B14,MIN('Loan Calculator'!B13,B101),0))</f>
        <v>0</v>
      </c>
      <c r="D101" s="22" t="n">
        <f aca="false">IF(B101&lt;=0,0,'Loan Calculator'!B4)</f>
        <v>0</v>
      </c>
      <c r="E101" s="22" t="n">
        <f aca="false">IF(B101&lt;=0,0,IF(A101&gt;='Loan Calculator'!B18,'Loan Calculator'!B17,0)+IF(A101&gt;='Loan Calculator'!B20,'Loan Calculator'!B19,0)+IF(A101&gt;='Loan Calculator'!B22,'Loan Calculator'!B21,0))</f>
        <v>0</v>
      </c>
      <c r="F101" s="22" t="n">
        <f aca="false">IF(B101&lt;=0,0,MIN(D101+E101,(B101-C101)*(1+'Loan Calculator'!B7)))</f>
        <v>0</v>
      </c>
      <c r="G101" s="22" t="n">
        <f aca="false">IF(B101&lt;=0,0,MAX(0,(B101-C101)*'Loan Calculator'!B7))</f>
        <v>0</v>
      </c>
      <c r="H101" s="22" t="n">
        <f aca="false">IF(B101&lt;=0,0,F101-G101)</f>
        <v>0</v>
      </c>
      <c r="I101" s="22" t="n">
        <f aca="false">IF(B101&lt;=0,0,MAX(0,B101-C101-H101))</f>
        <v>0</v>
      </c>
      <c r="J101" s="22" t="n">
        <f aca="false">J100+G101</f>
        <v>1973.65586085751</v>
      </c>
    </row>
    <row r="102" customFormat="false" ht="15" hidden="false" customHeight="false" outlineLevel="0" collapsed="false">
      <c r="A102" s="18" t="n">
        <v>101</v>
      </c>
      <c r="B102" s="19" t="n">
        <f aca="false">MAX(0,I101)</f>
        <v>0</v>
      </c>
      <c r="C102" s="19" t="n">
        <f aca="false">IF(B102&lt;=0,0,IF(A102='Loan Calculator'!B12,MIN('Loan Calculator'!B11,B102),0)+IF(A102='Loan Calculator'!B14,MIN('Loan Calculator'!B13,B102),0))</f>
        <v>0</v>
      </c>
      <c r="D102" s="19" t="n">
        <f aca="false">IF(B102&lt;=0,0,'Loan Calculator'!B4)</f>
        <v>0</v>
      </c>
      <c r="E102" s="19" t="n">
        <f aca="false">IF(B102&lt;=0,0,IF(A102&gt;='Loan Calculator'!B18,'Loan Calculator'!B17,0)+IF(A102&gt;='Loan Calculator'!B20,'Loan Calculator'!B19,0)+IF(A102&gt;='Loan Calculator'!B22,'Loan Calculator'!B21,0))</f>
        <v>0</v>
      </c>
      <c r="F102" s="19" t="n">
        <f aca="false">IF(B102&lt;=0,0,MIN(D102+E102,(B102-C102)*(1+'Loan Calculator'!B7)))</f>
        <v>0</v>
      </c>
      <c r="G102" s="19" t="n">
        <f aca="false">IF(B102&lt;=0,0,MAX(0,(B102-C102)*'Loan Calculator'!B7))</f>
        <v>0</v>
      </c>
      <c r="H102" s="19" t="n">
        <f aca="false">IF(B102&lt;=0,0,F102-G102)</f>
        <v>0</v>
      </c>
      <c r="I102" s="19" t="n">
        <f aca="false">IF(B102&lt;=0,0,MAX(0,B102-C102-H102))</f>
        <v>0</v>
      </c>
      <c r="J102" s="19" t="n">
        <f aca="false">J101+G102</f>
        <v>1973.65586085751</v>
      </c>
    </row>
    <row r="103" customFormat="false" ht="15" hidden="false" customHeight="false" outlineLevel="0" collapsed="false">
      <c r="A103" s="21" t="n">
        <v>102</v>
      </c>
      <c r="B103" s="22" t="n">
        <f aca="false">MAX(0,I102)</f>
        <v>0</v>
      </c>
      <c r="C103" s="22" t="n">
        <f aca="false">IF(B103&lt;=0,0,IF(A103='Loan Calculator'!B12,MIN('Loan Calculator'!B11,B103),0)+IF(A103='Loan Calculator'!B14,MIN('Loan Calculator'!B13,B103),0))</f>
        <v>0</v>
      </c>
      <c r="D103" s="22" t="n">
        <f aca="false">IF(B103&lt;=0,0,'Loan Calculator'!B4)</f>
        <v>0</v>
      </c>
      <c r="E103" s="22" t="n">
        <f aca="false">IF(B103&lt;=0,0,IF(A103&gt;='Loan Calculator'!B18,'Loan Calculator'!B17,0)+IF(A103&gt;='Loan Calculator'!B20,'Loan Calculator'!B19,0)+IF(A103&gt;='Loan Calculator'!B22,'Loan Calculator'!B21,0))</f>
        <v>0</v>
      </c>
      <c r="F103" s="22" t="n">
        <f aca="false">IF(B103&lt;=0,0,MIN(D103+E103,(B103-C103)*(1+'Loan Calculator'!B7)))</f>
        <v>0</v>
      </c>
      <c r="G103" s="22" t="n">
        <f aca="false">IF(B103&lt;=0,0,MAX(0,(B103-C103)*'Loan Calculator'!B7))</f>
        <v>0</v>
      </c>
      <c r="H103" s="22" t="n">
        <f aca="false">IF(B103&lt;=0,0,F103-G103)</f>
        <v>0</v>
      </c>
      <c r="I103" s="22" t="n">
        <f aca="false">IF(B103&lt;=0,0,MAX(0,B103-C103-H103))</f>
        <v>0</v>
      </c>
      <c r="J103" s="22" t="n">
        <f aca="false">J102+G103</f>
        <v>1973.65586085751</v>
      </c>
    </row>
    <row r="104" customFormat="false" ht="15" hidden="false" customHeight="false" outlineLevel="0" collapsed="false">
      <c r="A104" s="18" t="n">
        <v>103</v>
      </c>
      <c r="B104" s="19" t="n">
        <f aca="false">MAX(0,I103)</f>
        <v>0</v>
      </c>
      <c r="C104" s="19" t="n">
        <f aca="false">IF(B104&lt;=0,0,IF(A104='Loan Calculator'!B12,MIN('Loan Calculator'!B11,B104),0)+IF(A104='Loan Calculator'!B14,MIN('Loan Calculator'!B13,B104),0))</f>
        <v>0</v>
      </c>
      <c r="D104" s="19" t="n">
        <f aca="false">IF(B104&lt;=0,0,'Loan Calculator'!B4)</f>
        <v>0</v>
      </c>
      <c r="E104" s="19" t="n">
        <f aca="false">IF(B104&lt;=0,0,IF(A104&gt;='Loan Calculator'!B18,'Loan Calculator'!B17,0)+IF(A104&gt;='Loan Calculator'!B20,'Loan Calculator'!B19,0)+IF(A104&gt;='Loan Calculator'!B22,'Loan Calculator'!B21,0))</f>
        <v>0</v>
      </c>
      <c r="F104" s="19" t="n">
        <f aca="false">IF(B104&lt;=0,0,MIN(D104+E104,(B104-C104)*(1+'Loan Calculator'!B7)))</f>
        <v>0</v>
      </c>
      <c r="G104" s="19" t="n">
        <f aca="false">IF(B104&lt;=0,0,MAX(0,(B104-C104)*'Loan Calculator'!B7))</f>
        <v>0</v>
      </c>
      <c r="H104" s="19" t="n">
        <f aca="false">IF(B104&lt;=0,0,F104-G104)</f>
        <v>0</v>
      </c>
      <c r="I104" s="19" t="n">
        <f aca="false">IF(B104&lt;=0,0,MAX(0,B104-C104-H104))</f>
        <v>0</v>
      </c>
      <c r="J104" s="19" t="n">
        <f aca="false">J103+G104</f>
        <v>1973.65586085751</v>
      </c>
    </row>
    <row r="105" customFormat="false" ht="15" hidden="false" customHeight="false" outlineLevel="0" collapsed="false">
      <c r="A105" s="21" t="n">
        <v>104</v>
      </c>
      <c r="B105" s="22" t="n">
        <f aca="false">MAX(0,I104)</f>
        <v>0</v>
      </c>
      <c r="C105" s="22" t="n">
        <f aca="false">IF(B105&lt;=0,0,IF(A105='Loan Calculator'!B12,MIN('Loan Calculator'!B11,B105),0)+IF(A105='Loan Calculator'!B14,MIN('Loan Calculator'!B13,B105),0))</f>
        <v>0</v>
      </c>
      <c r="D105" s="22" t="n">
        <f aca="false">IF(B105&lt;=0,0,'Loan Calculator'!B4)</f>
        <v>0</v>
      </c>
      <c r="E105" s="22" t="n">
        <f aca="false">IF(B105&lt;=0,0,IF(A105&gt;='Loan Calculator'!B18,'Loan Calculator'!B17,0)+IF(A105&gt;='Loan Calculator'!B20,'Loan Calculator'!B19,0)+IF(A105&gt;='Loan Calculator'!B22,'Loan Calculator'!B21,0))</f>
        <v>0</v>
      </c>
      <c r="F105" s="22" t="n">
        <f aca="false">IF(B105&lt;=0,0,MIN(D105+E105,(B105-C105)*(1+'Loan Calculator'!B7)))</f>
        <v>0</v>
      </c>
      <c r="G105" s="22" t="n">
        <f aca="false">IF(B105&lt;=0,0,MAX(0,(B105-C105)*'Loan Calculator'!B7))</f>
        <v>0</v>
      </c>
      <c r="H105" s="22" t="n">
        <f aca="false">IF(B105&lt;=0,0,F105-G105)</f>
        <v>0</v>
      </c>
      <c r="I105" s="22" t="n">
        <f aca="false">IF(B105&lt;=0,0,MAX(0,B105-C105-H105))</f>
        <v>0</v>
      </c>
      <c r="J105" s="22" t="n">
        <f aca="false">J104+G105</f>
        <v>1973.65586085751</v>
      </c>
    </row>
    <row r="106" customFormat="false" ht="15" hidden="false" customHeight="false" outlineLevel="0" collapsed="false">
      <c r="A106" s="18" t="n">
        <v>105</v>
      </c>
      <c r="B106" s="19" t="n">
        <f aca="false">MAX(0,I105)</f>
        <v>0</v>
      </c>
      <c r="C106" s="19" t="n">
        <f aca="false">IF(B106&lt;=0,0,IF(A106='Loan Calculator'!B12,MIN('Loan Calculator'!B11,B106),0)+IF(A106='Loan Calculator'!B14,MIN('Loan Calculator'!B13,B106),0))</f>
        <v>0</v>
      </c>
      <c r="D106" s="19" t="n">
        <f aca="false">IF(B106&lt;=0,0,'Loan Calculator'!B4)</f>
        <v>0</v>
      </c>
      <c r="E106" s="19" t="n">
        <f aca="false">IF(B106&lt;=0,0,IF(A106&gt;='Loan Calculator'!B18,'Loan Calculator'!B17,0)+IF(A106&gt;='Loan Calculator'!B20,'Loan Calculator'!B19,0)+IF(A106&gt;='Loan Calculator'!B22,'Loan Calculator'!B21,0))</f>
        <v>0</v>
      </c>
      <c r="F106" s="19" t="n">
        <f aca="false">IF(B106&lt;=0,0,MIN(D106+E106,(B106-C106)*(1+'Loan Calculator'!B7)))</f>
        <v>0</v>
      </c>
      <c r="G106" s="19" t="n">
        <f aca="false">IF(B106&lt;=0,0,MAX(0,(B106-C106)*'Loan Calculator'!B7))</f>
        <v>0</v>
      </c>
      <c r="H106" s="19" t="n">
        <f aca="false">IF(B106&lt;=0,0,F106-G106)</f>
        <v>0</v>
      </c>
      <c r="I106" s="19" t="n">
        <f aca="false">IF(B106&lt;=0,0,MAX(0,B106-C106-H106))</f>
        <v>0</v>
      </c>
      <c r="J106" s="19" t="n">
        <f aca="false">J105+G106</f>
        <v>1973.65586085751</v>
      </c>
    </row>
    <row r="107" customFormat="false" ht="15" hidden="false" customHeight="false" outlineLevel="0" collapsed="false">
      <c r="A107" s="21" t="n">
        <v>106</v>
      </c>
      <c r="B107" s="22" t="n">
        <f aca="false">MAX(0,I106)</f>
        <v>0</v>
      </c>
      <c r="C107" s="22" t="n">
        <f aca="false">IF(B107&lt;=0,0,IF(A107='Loan Calculator'!B12,MIN('Loan Calculator'!B11,B107),0)+IF(A107='Loan Calculator'!B14,MIN('Loan Calculator'!B13,B107),0))</f>
        <v>0</v>
      </c>
      <c r="D107" s="22" t="n">
        <f aca="false">IF(B107&lt;=0,0,'Loan Calculator'!B4)</f>
        <v>0</v>
      </c>
      <c r="E107" s="22" t="n">
        <f aca="false">IF(B107&lt;=0,0,IF(A107&gt;='Loan Calculator'!B18,'Loan Calculator'!B17,0)+IF(A107&gt;='Loan Calculator'!B20,'Loan Calculator'!B19,0)+IF(A107&gt;='Loan Calculator'!B22,'Loan Calculator'!B21,0))</f>
        <v>0</v>
      </c>
      <c r="F107" s="22" t="n">
        <f aca="false">IF(B107&lt;=0,0,MIN(D107+E107,(B107-C107)*(1+'Loan Calculator'!B7)))</f>
        <v>0</v>
      </c>
      <c r="G107" s="22" t="n">
        <f aca="false">IF(B107&lt;=0,0,MAX(0,(B107-C107)*'Loan Calculator'!B7))</f>
        <v>0</v>
      </c>
      <c r="H107" s="22" t="n">
        <f aca="false">IF(B107&lt;=0,0,F107-G107)</f>
        <v>0</v>
      </c>
      <c r="I107" s="22" t="n">
        <f aca="false">IF(B107&lt;=0,0,MAX(0,B107-C107-H107))</f>
        <v>0</v>
      </c>
      <c r="J107" s="22" t="n">
        <f aca="false">J106+G107</f>
        <v>1973.65586085751</v>
      </c>
    </row>
    <row r="108" customFormat="false" ht="15" hidden="false" customHeight="false" outlineLevel="0" collapsed="false">
      <c r="A108" s="18" t="n">
        <v>107</v>
      </c>
      <c r="B108" s="19" t="n">
        <f aca="false">MAX(0,I107)</f>
        <v>0</v>
      </c>
      <c r="C108" s="19" t="n">
        <f aca="false">IF(B108&lt;=0,0,IF(A108='Loan Calculator'!B12,MIN('Loan Calculator'!B11,B108),0)+IF(A108='Loan Calculator'!B14,MIN('Loan Calculator'!B13,B108),0))</f>
        <v>0</v>
      </c>
      <c r="D108" s="19" t="n">
        <f aca="false">IF(B108&lt;=0,0,'Loan Calculator'!B4)</f>
        <v>0</v>
      </c>
      <c r="E108" s="19" t="n">
        <f aca="false">IF(B108&lt;=0,0,IF(A108&gt;='Loan Calculator'!B18,'Loan Calculator'!B17,0)+IF(A108&gt;='Loan Calculator'!B20,'Loan Calculator'!B19,0)+IF(A108&gt;='Loan Calculator'!B22,'Loan Calculator'!B21,0))</f>
        <v>0</v>
      </c>
      <c r="F108" s="19" t="n">
        <f aca="false">IF(B108&lt;=0,0,MIN(D108+E108,(B108-C108)*(1+'Loan Calculator'!B7)))</f>
        <v>0</v>
      </c>
      <c r="G108" s="19" t="n">
        <f aca="false">IF(B108&lt;=0,0,MAX(0,(B108-C108)*'Loan Calculator'!B7))</f>
        <v>0</v>
      </c>
      <c r="H108" s="19" t="n">
        <f aca="false">IF(B108&lt;=0,0,F108-G108)</f>
        <v>0</v>
      </c>
      <c r="I108" s="19" t="n">
        <f aca="false">IF(B108&lt;=0,0,MAX(0,B108-C108-H108))</f>
        <v>0</v>
      </c>
      <c r="J108" s="19" t="n">
        <f aca="false">J107+G108</f>
        <v>1973.65586085751</v>
      </c>
    </row>
    <row r="109" customFormat="false" ht="15" hidden="false" customHeight="false" outlineLevel="0" collapsed="false">
      <c r="A109" s="21" t="n">
        <v>108</v>
      </c>
      <c r="B109" s="22" t="n">
        <f aca="false">MAX(0,I108)</f>
        <v>0</v>
      </c>
      <c r="C109" s="22" t="n">
        <f aca="false">IF(B109&lt;=0,0,IF(A109='Loan Calculator'!B12,MIN('Loan Calculator'!B11,B109),0)+IF(A109='Loan Calculator'!B14,MIN('Loan Calculator'!B13,B109),0))</f>
        <v>0</v>
      </c>
      <c r="D109" s="22" t="n">
        <f aca="false">IF(B109&lt;=0,0,'Loan Calculator'!B4)</f>
        <v>0</v>
      </c>
      <c r="E109" s="22" t="n">
        <f aca="false">IF(B109&lt;=0,0,IF(A109&gt;='Loan Calculator'!B18,'Loan Calculator'!B17,0)+IF(A109&gt;='Loan Calculator'!B20,'Loan Calculator'!B19,0)+IF(A109&gt;='Loan Calculator'!B22,'Loan Calculator'!B21,0))</f>
        <v>0</v>
      </c>
      <c r="F109" s="22" t="n">
        <f aca="false">IF(B109&lt;=0,0,MIN(D109+E109,(B109-C109)*(1+'Loan Calculator'!B7)))</f>
        <v>0</v>
      </c>
      <c r="G109" s="22" t="n">
        <f aca="false">IF(B109&lt;=0,0,MAX(0,(B109-C109)*'Loan Calculator'!B7))</f>
        <v>0</v>
      </c>
      <c r="H109" s="22" t="n">
        <f aca="false">IF(B109&lt;=0,0,F109-G109)</f>
        <v>0</v>
      </c>
      <c r="I109" s="22" t="n">
        <f aca="false">IF(B109&lt;=0,0,MAX(0,B109-C109-H109))</f>
        <v>0</v>
      </c>
      <c r="J109" s="22" t="n">
        <f aca="false">J108+G109</f>
        <v>1973.65586085751</v>
      </c>
    </row>
    <row r="110" customFormat="false" ht="15" hidden="false" customHeight="false" outlineLevel="0" collapsed="false">
      <c r="A110" s="18" t="n">
        <v>109</v>
      </c>
      <c r="B110" s="19" t="n">
        <f aca="false">MAX(0,I109)</f>
        <v>0</v>
      </c>
      <c r="C110" s="19" t="n">
        <f aca="false">IF(B110&lt;=0,0,IF(A110='Loan Calculator'!B12,MIN('Loan Calculator'!B11,B110),0)+IF(A110='Loan Calculator'!B14,MIN('Loan Calculator'!B13,B110),0))</f>
        <v>0</v>
      </c>
      <c r="D110" s="19" t="n">
        <f aca="false">IF(B110&lt;=0,0,'Loan Calculator'!B4)</f>
        <v>0</v>
      </c>
      <c r="E110" s="19" t="n">
        <f aca="false">IF(B110&lt;=0,0,IF(A110&gt;='Loan Calculator'!B18,'Loan Calculator'!B17,0)+IF(A110&gt;='Loan Calculator'!B20,'Loan Calculator'!B19,0)+IF(A110&gt;='Loan Calculator'!B22,'Loan Calculator'!B21,0))</f>
        <v>0</v>
      </c>
      <c r="F110" s="19" t="n">
        <f aca="false">IF(B110&lt;=0,0,MIN(D110+E110,(B110-C110)*(1+'Loan Calculator'!B7)))</f>
        <v>0</v>
      </c>
      <c r="G110" s="19" t="n">
        <f aca="false">IF(B110&lt;=0,0,MAX(0,(B110-C110)*'Loan Calculator'!B7))</f>
        <v>0</v>
      </c>
      <c r="H110" s="19" t="n">
        <f aca="false">IF(B110&lt;=0,0,F110-G110)</f>
        <v>0</v>
      </c>
      <c r="I110" s="19" t="n">
        <f aca="false">IF(B110&lt;=0,0,MAX(0,B110-C110-H110))</f>
        <v>0</v>
      </c>
      <c r="J110" s="19" t="n">
        <f aca="false">J109+G110</f>
        <v>1973.65586085751</v>
      </c>
    </row>
    <row r="111" customFormat="false" ht="15" hidden="false" customHeight="false" outlineLevel="0" collapsed="false">
      <c r="A111" s="21" t="n">
        <v>110</v>
      </c>
      <c r="B111" s="22" t="n">
        <f aca="false">MAX(0,I110)</f>
        <v>0</v>
      </c>
      <c r="C111" s="22" t="n">
        <f aca="false">IF(B111&lt;=0,0,IF(A111='Loan Calculator'!B12,MIN('Loan Calculator'!B11,B111),0)+IF(A111='Loan Calculator'!B14,MIN('Loan Calculator'!B13,B111),0))</f>
        <v>0</v>
      </c>
      <c r="D111" s="22" t="n">
        <f aca="false">IF(B111&lt;=0,0,'Loan Calculator'!B4)</f>
        <v>0</v>
      </c>
      <c r="E111" s="22" t="n">
        <f aca="false">IF(B111&lt;=0,0,IF(A111&gt;='Loan Calculator'!B18,'Loan Calculator'!B17,0)+IF(A111&gt;='Loan Calculator'!B20,'Loan Calculator'!B19,0)+IF(A111&gt;='Loan Calculator'!B22,'Loan Calculator'!B21,0))</f>
        <v>0</v>
      </c>
      <c r="F111" s="22" t="n">
        <f aca="false">IF(B111&lt;=0,0,MIN(D111+E111,(B111-C111)*(1+'Loan Calculator'!B7)))</f>
        <v>0</v>
      </c>
      <c r="G111" s="22" t="n">
        <f aca="false">IF(B111&lt;=0,0,MAX(0,(B111-C111)*'Loan Calculator'!B7))</f>
        <v>0</v>
      </c>
      <c r="H111" s="22" t="n">
        <f aca="false">IF(B111&lt;=0,0,F111-G111)</f>
        <v>0</v>
      </c>
      <c r="I111" s="22" t="n">
        <f aca="false">IF(B111&lt;=0,0,MAX(0,B111-C111-H111))</f>
        <v>0</v>
      </c>
      <c r="J111" s="22" t="n">
        <f aca="false">J110+G111</f>
        <v>1973.65586085751</v>
      </c>
    </row>
    <row r="112" customFormat="false" ht="15" hidden="false" customHeight="false" outlineLevel="0" collapsed="false">
      <c r="A112" s="18" t="n">
        <v>111</v>
      </c>
      <c r="B112" s="19" t="n">
        <f aca="false">MAX(0,I111)</f>
        <v>0</v>
      </c>
      <c r="C112" s="19" t="n">
        <f aca="false">IF(B112&lt;=0,0,IF(A112='Loan Calculator'!B12,MIN('Loan Calculator'!B11,B112),0)+IF(A112='Loan Calculator'!B14,MIN('Loan Calculator'!B13,B112),0))</f>
        <v>0</v>
      </c>
      <c r="D112" s="19" t="n">
        <f aca="false">IF(B112&lt;=0,0,'Loan Calculator'!B4)</f>
        <v>0</v>
      </c>
      <c r="E112" s="19" t="n">
        <f aca="false">IF(B112&lt;=0,0,IF(A112&gt;='Loan Calculator'!B18,'Loan Calculator'!B17,0)+IF(A112&gt;='Loan Calculator'!B20,'Loan Calculator'!B19,0)+IF(A112&gt;='Loan Calculator'!B22,'Loan Calculator'!B21,0))</f>
        <v>0</v>
      </c>
      <c r="F112" s="19" t="n">
        <f aca="false">IF(B112&lt;=0,0,MIN(D112+E112,(B112-C112)*(1+'Loan Calculator'!B7)))</f>
        <v>0</v>
      </c>
      <c r="G112" s="19" t="n">
        <f aca="false">IF(B112&lt;=0,0,MAX(0,(B112-C112)*'Loan Calculator'!B7))</f>
        <v>0</v>
      </c>
      <c r="H112" s="19" t="n">
        <f aca="false">IF(B112&lt;=0,0,F112-G112)</f>
        <v>0</v>
      </c>
      <c r="I112" s="19" t="n">
        <f aca="false">IF(B112&lt;=0,0,MAX(0,B112-C112-H112))</f>
        <v>0</v>
      </c>
      <c r="J112" s="19" t="n">
        <f aca="false">J111+G112</f>
        <v>1973.65586085751</v>
      </c>
    </row>
    <row r="113" customFormat="false" ht="15" hidden="false" customHeight="false" outlineLevel="0" collapsed="false">
      <c r="A113" s="21" t="n">
        <v>112</v>
      </c>
      <c r="B113" s="22" t="n">
        <f aca="false">MAX(0,I112)</f>
        <v>0</v>
      </c>
      <c r="C113" s="22" t="n">
        <f aca="false">IF(B113&lt;=0,0,IF(A113='Loan Calculator'!B12,MIN('Loan Calculator'!B11,B113),0)+IF(A113='Loan Calculator'!B14,MIN('Loan Calculator'!B13,B113),0))</f>
        <v>0</v>
      </c>
      <c r="D113" s="22" t="n">
        <f aca="false">IF(B113&lt;=0,0,'Loan Calculator'!B4)</f>
        <v>0</v>
      </c>
      <c r="E113" s="22" t="n">
        <f aca="false">IF(B113&lt;=0,0,IF(A113&gt;='Loan Calculator'!B18,'Loan Calculator'!B17,0)+IF(A113&gt;='Loan Calculator'!B20,'Loan Calculator'!B19,0)+IF(A113&gt;='Loan Calculator'!B22,'Loan Calculator'!B21,0))</f>
        <v>0</v>
      </c>
      <c r="F113" s="22" t="n">
        <f aca="false">IF(B113&lt;=0,0,MIN(D113+E113,(B113-C113)*(1+'Loan Calculator'!B7)))</f>
        <v>0</v>
      </c>
      <c r="G113" s="22" t="n">
        <f aca="false">IF(B113&lt;=0,0,MAX(0,(B113-C113)*'Loan Calculator'!B7))</f>
        <v>0</v>
      </c>
      <c r="H113" s="22" t="n">
        <f aca="false">IF(B113&lt;=0,0,F113-G113)</f>
        <v>0</v>
      </c>
      <c r="I113" s="22" t="n">
        <f aca="false">IF(B113&lt;=0,0,MAX(0,B113-C113-H113))</f>
        <v>0</v>
      </c>
      <c r="J113" s="22" t="n">
        <f aca="false">J112+G113</f>
        <v>1973.65586085751</v>
      </c>
    </row>
    <row r="114" customFormat="false" ht="15" hidden="false" customHeight="false" outlineLevel="0" collapsed="false">
      <c r="A114" s="18" t="n">
        <v>113</v>
      </c>
      <c r="B114" s="19" t="n">
        <f aca="false">MAX(0,I113)</f>
        <v>0</v>
      </c>
      <c r="C114" s="19" t="n">
        <f aca="false">IF(B114&lt;=0,0,IF(A114='Loan Calculator'!B12,MIN('Loan Calculator'!B11,B114),0)+IF(A114='Loan Calculator'!B14,MIN('Loan Calculator'!B13,B114),0))</f>
        <v>0</v>
      </c>
      <c r="D114" s="19" t="n">
        <f aca="false">IF(B114&lt;=0,0,'Loan Calculator'!B4)</f>
        <v>0</v>
      </c>
      <c r="E114" s="19" t="n">
        <f aca="false">IF(B114&lt;=0,0,IF(A114&gt;='Loan Calculator'!B18,'Loan Calculator'!B17,0)+IF(A114&gt;='Loan Calculator'!B20,'Loan Calculator'!B19,0)+IF(A114&gt;='Loan Calculator'!B22,'Loan Calculator'!B21,0))</f>
        <v>0</v>
      </c>
      <c r="F114" s="19" t="n">
        <f aca="false">IF(B114&lt;=0,0,MIN(D114+E114,(B114-C114)*(1+'Loan Calculator'!B7)))</f>
        <v>0</v>
      </c>
      <c r="G114" s="19" t="n">
        <f aca="false">IF(B114&lt;=0,0,MAX(0,(B114-C114)*'Loan Calculator'!B7))</f>
        <v>0</v>
      </c>
      <c r="H114" s="19" t="n">
        <f aca="false">IF(B114&lt;=0,0,F114-G114)</f>
        <v>0</v>
      </c>
      <c r="I114" s="19" t="n">
        <f aca="false">IF(B114&lt;=0,0,MAX(0,B114-C114-H114))</f>
        <v>0</v>
      </c>
      <c r="J114" s="19" t="n">
        <f aca="false">J113+G114</f>
        <v>1973.65586085751</v>
      </c>
    </row>
    <row r="115" customFormat="false" ht="15" hidden="false" customHeight="false" outlineLevel="0" collapsed="false">
      <c r="A115" s="21" t="n">
        <v>114</v>
      </c>
      <c r="B115" s="22" t="n">
        <f aca="false">MAX(0,I114)</f>
        <v>0</v>
      </c>
      <c r="C115" s="22" t="n">
        <f aca="false">IF(B115&lt;=0,0,IF(A115='Loan Calculator'!B12,MIN('Loan Calculator'!B11,B115),0)+IF(A115='Loan Calculator'!B14,MIN('Loan Calculator'!B13,B115),0))</f>
        <v>0</v>
      </c>
      <c r="D115" s="22" t="n">
        <f aca="false">IF(B115&lt;=0,0,'Loan Calculator'!B4)</f>
        <v>0</v>
      </c>
      <c r="E115" s="22" t="n">
        <f aca="false">IF(B115&lt;=0,0,IF(A115&gt;='Loan Calculator'!B18,'Loan Calculator'!B17,0)+IF(A115&gt;='Loan Calculator'!B20,'Loan Calculator'!B19,0)+IF(A115&gt;='Loan Calculator'!B22,'Loan Calculator'!B21,0))</f>
        <v>0</v>
      </c>
      <c r="F115" s="22" t="n">
        <f aca="false">IF(B115&lt;=0,0,MIN(D115+E115,(B115-C115)*(1+'Loan Calculator'!B7)))</f>
        <v>0</v>
      </c>
      <c r="G115" s="22" t="n">
        <f aca="false">IF(B115&lt;=0,0,MAX(0,(B115-C115)*'Loan Calculator'!B7))</f>
        <v>0</v>
      </c>
      <c r="H115" s="22" t="n">
        <f aca="false">IF(B115&lt;=0,0,F115-G115)</f>
        <v>0</v>
      </c>
      <c r="I115" s="22" t="n">
        <f aca="false">IF(B115&lt;=0,0,MAX(0,B115-C115-H115))</f>
        <v>0</v>
      </c>
      <c r="J115" s="22" t="n">
        <f aca="false">J114+G115</f>
        <v>1973.65586085751</v>
      </c>
    </row>
    <row r="116" customFormat="false" ht="15" hidden="false" customHeight="false" outlineLevel="0" collapsed="false">
      <c r="A116" s="18" t="n">
        <v>115</v>
      </c>
      <c r="B116" s="19" t="n">
        <f aca="false">MAX(0,I115)</f>
        <v>0</v>
      </c>
      <c r="C116" s="19" t="n">
        <f aca="false">IF(B116&lt;=0,0,IF(A116='Loan Calculator'!B12,MIN('Loan Calculator'!B11,B116),0)+IF(A116='Loan Calculator'!B14,MIN('Loan Calculator'!B13,B116),0))</f>
        <v>0</v>
      </c>
      <c r="D116" s="19" t="n">
        <f aca="false">IF(B116&lt;=0,0,'Loan Calculator'!B4)</f>
        <v>0</v>
      </c>
      <c r="E116" s="19" t="n">
        <f aca="false">IF(B116&lt;=0,0,IF(A116&gt;='Loan Calculator'!B18,'Loan Calculator'!B17,0)+IF(A116&gt;='Loan Calculator'!B20,'Loan Calculator'!B19,0)+IF(A116&gt;='Loan Calculator'!B22,'Loan Calculator'!B21,0))</f>
        <v>0</v>
      </c>
      <c r="F116" s="19" t="n">
        <f aca="false">IF(B116&lt;=0,0,MIN(D116+E116,(B116-C116)*(1+'Loan Calculator'!B7)))</f>
        <v>0</v>
      </c>
      <c r="G116" s="19" t="n">
        <f aca="false">IF(B116&lt;=0,0,MAX(0,(B116-C116)*'Loan Calculator'!B7))</f>
        <v>0</v>
      </c>
      <c r="H116" s="19" t="n">
        <f aca="false">IF(B116&lt;=0,0,F116-G116)</f>
        <v>0</v>
      </c>
      <c r="I116" s="19" t="n">
        <f aca="false">IF(B116&lt;=0,0,MAX(0,B116-C116-H116))</f>
        <v>0</v>
      </c>
      <c r="J116" s="19" t="n">
        <f aca="false">J115+G116</f>
        <v>1973.65586085751</v>
      </c>
    </row>
    <row r="117" customFormat="false" ht="15" hidden="false" customHeight="false" outlineLevel="0" collapsed="false">
      <c r="A117" s="21" t="n">
        <v>116</v>
      </c>
      <c r="B117" s="22" t="n">
        <f aca="false">MAX(0,I116)</f>
        <v>0</v>
      </c>
      <c r="C117" s="22" t="n">
        <f aca="false">IF(B117&lt;=0,0,IF(A117='Loan Calculator'!B12,MIN('Loan Calculator'!B11,B117),0)+IF(A117='Loan Calculator'!B14,MIN('Loan Calculator'!B13,B117),0))</f>
        <v>0</v>
      </c>
      <c r="D117" s="22" t="n">
        <f aca="false">IF(B117&lt;=0,0,'Loan Calculator'!B4)</f>
        <v>0</v>
      </c>
      <c r="E117" s="22" t="n">
        <f aca="false">IF(B117&lt;=0,0,IF(A117&gt;='Loan Calculator'!B18,'Loan Calculator'!B17,0)+IF(A117&gt;='Loan Calculator'!B20,'Loan Calculator'!B19,0)+IF(A117&gt;='Loan Calculator'!B22,'Loan Calculator'!B21,0))</f>
        <v>0</v>
      </c>
      <c r="F117" s="22" t="n">
        <f aca="false">IF(B117&lt;=0,0,MIN(D117+E117,(B117-C117)*(1+'Loan Calculator'!B7)))</f>
        <v>0</v>
      </c>
      <c r="G117" s="22" t="n">
        <f aca="false">IF(B117&lt;=0,0,MAX(0,(B117-C117)*'Loan Calculator'!B7))</f>
        <v>0</v>
      </c>
      <c r="H117" s="22" t="n">
        <f aca="false">IF(B117&lt;=0,0,F117-G117)</f>
        <v>0</v>
      </c>
      <c r="I117" s="22" t="n">
        <f aca="false">IF(B117&lt;=0,0,MAX(0,B117-C117-H117))</f>
        <v>0</v>
      </c>
      <c r="J117" s="22" t="n">
        <f aca="false">J116+G117</f>
        <v>1973.65586085751</v>
      </c>
    </row>
    <row r="118" customFormat="false" ht="15" hidden="false" customHeight="false" outlineLevel="0" collapsed="false">
      <c r="A118" s="18" t="n">
        <v>117</v>
      </c>
      <c r="B118" s="19" t="n">
        <f aca="false">MAX(0,I117)</f>
        <v>0</v>
      </c>
      <c r="C118" s="19" t="n">
        <f aca="false">IF(B118&lt;=0,0,IF(A118='Loan Calculator'!B12,MIN('Loan Calculator'!B11,B118),0)+IF(A118='Loan Calculator'!B14,MIN('Loan Calculator'!B13,B118),0))</f>
        <v>0</v>
      </c>
      <c r="D118" s="19" t="n">
        <f aca="false">IF(B118&lt;=0,0,'Loan Calculator'!B4)</f>
        <v>0</v>
      </c>
      <c r="E118" s="19" t="n">
        <f aca="false">IF(B118&lt;=0,0,IF(A118&gt;='Loan Calculator'!B18,'Loan Calculator'!B17,0)+IF(A118&gt;='Loan Calculator'!B20,'Loan Calculator'!B19,0)+IF(A118&gt;='Loan Calculator'!B22,'Loan Calculator'!B21,0))</f>
        <v>0</v>
      </c>
      <c r="F118" s="19" t="n">
        <f aca="false">IF(B118&lt;=0,0,MIN(D118+E118,(B118-C118)*(1+'Loan Calculator'!B7)))</f>
        <v>0</v>
      </c>
      <c r="G118" s="19" t="n">
        <f aca="false">IF(B118&lt;=0,0,MAX(0,(B118-C118)*'Loan Calculator'!B7))</f>
        <v>0</v>
      </c>
      <c r="H118" s="19" t="n">
        <f aca="false">IF(B118&lt;=0,0,F118-G118)</f>
        <v>0</v>
      </c>
      <c r="I118" s="19" t="n">
        <f aca="false">IF(B118&lt;=0,0,MAX(0,B118-C118-H118))</f>
        <v>0</v>
      </c>
      <c r="J118" s="19" t="n">
        <f aca="false">J117+G118</f>
        <v>1973.65586085751</v>
      </c>
    </row>
    <row r="119" customFormat="false" ht="15" hidden="false" customHeight="false" outlineLevel="0" collapsed="false">
      <c r="A119" s="21" t="n">
        <v>118</v>
      </c>
      <c r="B119" s="22" t="n">
        <f aca="false">MAX(0,I118)</f>
        <v>0</v>
      </c>
      <c r="C119" s="22" t="n">
        <f aca="false">IF(B119&lt;=0,0,IF(A119='Loan Calculator'!B12,MIN('Loan Calculator'!B11,B119),0)+IF(A119='Loan Calculator'!B14,MIN('Loan Calculator'!B13,B119),0))</f>
        <v>0</v>
      </c>
      <c r="D119" s="22" t="n">
        <f aca="false">IF(B119&lt;=0,0,'Loan Calculator'!B4)</f>
        <v>0</v>
      </c>
      <c r="E119" s="22" t="n">
        <f aca="false">IF(B119&lt;=0,0,IF(A119&gt;='Loan Calculator'!B18,'Loan Calculator'!B17,0)+IF(A119&gt;='Loan Calculator'!B20,'Loan Calculator'!B19,0)+IF(A119&gt;='Loan Calculator'!B22,'Loan Calculator'!B21,0))</f>
        <v>0</v>
      </c>
      <c r="F119" s="22" t="n">
        <f aca="false">IF(B119&lt;=0,0,MIN(D119+E119,(B119-C119)*(1+'Loan Calculator'!B7)))</f>
        <v>0</v>
      </c>
      <c r="G119" s="22" t="n">
        <f aca="false">IF(B119&lt;=0,0,MAX(0,(B119-C119)*'Loan Calculator'!B7))</f>
        <v>0</v>
      </c>
      <c r="H119" s="22" t="n">
        <f aca="false">IF(B119&lt;=0,0,F119-G119)</f>
        <v>0</v>
      </c>
      <c r="I119" s="22" t="n">
        <f aca="false">IF(B119&lt;=0,0,MAX(0,B119-C119-H119))</f>
        <v>0</v>
      </c>
      <c r="J119" s="22" t="n">
        <f aca="false">J118+G119</f>
        <v>1973.65586085751</v>
      </c>
    </row>
    <row r="120" customFormat="false" ht="15" hidden="false" customHeight="false" outlineLevel="0" collapsed="false">
      <c r="A120" s="18" t="n">
        <v>119</v>
      </c>
      <c r="B120" s="19" t="n">
        <f aca="false">MAX(0,I119)</f>
        <v>0</v>
      </c>
      <c r="C120" s="19" t="n">
        <f aca="false">IF(B120&lt;=0,0,IF(A120='Loan Calculator'!B12,MIN('Loan Calculator'!B11,B120),0)+IF(A120='Loan Calculator'!B14,MIN('Loan Calculator'!B13,B120),0))</f>
        <v>0</v>
      </c>
      <c r="D120" s="19" t="n">
        <f aca="false">IF(B120&lt;=0,0,'Loan Calculator'!B4)</f>
        <v>0</v>
      </c>
      <c r="E120" s="19" t="n">
        <f aca="false">IF(B120&lt;=0,0,IF(A120&gt;='Loan Calculator'!B18,'Loan Calculator'!B17,0)+IF(A120&gt;='Loan Calculator'!B20,'Loan Calculator'!B19,0)+IF(A120&gt;='Loan Calculator'!B22,'Loan Calculator'!B21,0))</f>
        <v>0</v>
      </c>
      <c r="F120" s="19" t="n">
        <f aca="false">IF(B120&lt;=0,0,MIN(D120+E120,(B120-C120)*(1+'Loan Calculator'!B7)))</f>
        <v>0</v>
      </c>
      <c r="G120" s="19" t="n">
        <f aca="false">IF(B120&lt;=0,0,MAX(0,(B120-C120)*'Loan Calculator'!B7))</f>
        <v>0</v>
      </c>
      <c r="H120" s="19" t="n">
        <f aca="false">IF(B120&lt;=0,0,F120-G120)</f>
        <v>0</v>
      </c>
      <c r="I120" s="19" t="n">
        <f aca="false">IF(B120&lt;=0,0,MAX(0,B120-C120-H120))</f>
        <v>0</v>
      </c>
      <c r="J120" s="19" t="n">
        <f aca="false">J119+G120</f>
        <v>1973.65586085751</v>
      </c>
    </row>
    <row r="121" customFormat="false" ht="15" hidden="false" customHeight="false" outlineLevel="0" collapsed="false">
      <c r="A121" s="21" t="n">
        <v>120</v>
      </c>
      <c r="B121" s="22" t="n">
        <f aca="false">MAX(0,I120)</f>
        <v>0</v>
      </c>
      <c r="C121" s="22" t="n">
        <f aca="false">IF(B121&lt;=0,0,IF(A121='Loan Calculator'!B12,MIN('Loan Calculator'!B11,B121),0)+IF(A121='Loan Calculator'!B14,MIN('Loan Calculator'!B13,B121),0))</f>
        <v>0</v>
      </c>
      <c r="D121" s="22" t="n">
        <f aca="false">IF(B121&lt;=0,0,'Loan Calculator'!B4)</f>
        <v>0</v>
      </c>
      <c r="E121" s="22" t="n">
        <f aca="false">IF(B121&lt;=0,0,IF(A121&gt;='Loan Calculator'!B18,'Loan Calculator'!B17,0)+IF(A121&gt;='Loan Calculator'!B20,'Loan Calculator'!B19,0)+IF(A121&gt;='Loan Calculator'!B22,'Loan Calculator'!B21,0))</f>
        <v>0</v>
      </c>
      <c r="F121" s="22" t="n">
        <f aca="false">IF(B121&lt;=0,0,MIN(D121+E121,(B121-C121)*(1+'Loan Calculator'!B7)))</f>
        <v>0</v>
      </c>
      <c r="G121" s="22" t="n">
        <f aca="false">IF(B121&lt;=0,0,MAX(0,(B121-C121)*'Loan Calculator'!B7))</f>
        <v>0</v>
      </c>
      <c r="H121" s="22" t="n">
        <f aca="false">IF(B121&lt;=0,0,F121-G121)</f>
        <v>0</v>
      </c>
      <c r="I121" s="22" t="n">
        <f aca="false">IF(B121&lt;=0,0,MAX(0,B121-C121-H121))</f>
        <v>0</v>
      </c>
      <c r="J121" s="22" t="n">
        <f aca="false">J120+G121</f>
        <v>1973.65586085751</v>
      </c>
    </row>
    <row r="122" customFormat="false" ht="15" hidden="false" customHeight="false" outlineLevel="0" collapsed="false">
      <c r="A122" s="18" t="n">
        <v>121</v>
      </c>
      <c r="B122" s="19" t="n">
        <f aca="false">MAX(0,I121)</f>
        <v>0</v>
      </c>
      <c r="C122" s="19" t="n">
        <f aca="false">IF(B122&lt;=0,0,IF(A122='Loan Calculator'!B12,MIN('Loan Calculator'!B11,B122),0)+IF(A122='Loan Calculator'!B14,MIN('Loan Calculator'!B13,B122),0))</f>
        <v>0</v>
      </c>
      <c r="D122" s="19" t="n">
        <f aca="false">IF(B122&lt;=0,0,'Loan Calculator'!B4)</f>
        <v>0</v>
      </c>
      <c r="E122" s="19" t="n">
        <f aca="false">IF(B122&lt;=0,0,IF(A122&gt;='Loan Calculator'!B18,'Loan Calculator'!B17,0)+IF(A122&gt;='Loan Calculator'!B20,'Loan Calculator'!B19,0)+IF(A122&gt;='Loan Calculator'!B22,'Loan Calculator'!B21,0))</f>
        <v>0</v>
      </c>
      <c r="F122" s="19" t="n">
        <f aca="false">IF(B122&lt;=0,0,MIN(D122+E122,(B122-C122)*(1+'Loan Calculator'!B7)))</f>
        <v>0</v>
      </c>
      <c r="G122" s="19" t="n">
        <f aca="false">IF(B122&lt;=0,0,MAX(0,(B122-C122)*'Loan Calculator'!B7))</f>
        <v>0</v>
      </c>
      <c r="H122" s="19" t="n">
        <f aca="false">IF(B122&lt;=0,0,F122-G122)</f>
        <v>0</v>
      </c>
      <c r="I122" s="19" t="n">
        <f aca="false">IF(B122&lt;=0,0,MAX(0,B122-C122-H122))</f>
        <v>0</v>
      </c>
      <c r="J122" s="19" t="n">
        <f aca="false">J121+G122</f>
        <v>1973.65586085751</v>
      </c>
    </row>
    <row r="123" customFormat="false" ht="15" hidden="false" customHeight="false" outlineLevel="0" collapsed="false">
      <c r="A123" s="21" t="n">
        <v>122</v>
      </c>
      <c r="B123" s="22" t="n">
        <f aca="false">MAX(0,I122)</f>
        <v>0</v>
      </c>
      <c r="C123" s="22" t="n">
        <f aca="false">IF(B123&lt;=0,0,IF(A123='Loan Calculator'!B12,MIN('Loan Calculator'!B11,B123),0)+IF(A123='Loan Calculator'!B14,MIN('Loan Calculator'!B13,B123),0))</f>
        <v>0</v>
      </c>
      <c r="D123" s="22" t="n">
        <f aca="false">IF(B123&lt;=0,0,'Loan Calculator'!B4)</f>
        <v>0</v>
      </c>
      <c r="E123" s="22" t="n">
        <f aca="false">IF(B123&lt;=0,0,IF(A123&gt;='Loan Calculator'!B18,'Loan Calculator'!B17,0)+IF(A123&gt;='Loan Calculator'!B20,'Loan Calculator'!B19,0)+IF(A123&gt;='Loan Calculator'!B22,'Loan Calculator'!B21,0))</f>
        <v>0</v>
      </c>
      <c r="F123" s="22" t="n">
        <f aca="false">IF(B123&lt;=0,0,MIN(D123+E123,(B123-C123)*(1+'Loan Calculator'!B7)))</f>
        <v>0</v>
      </c>
      <c r="G123" s="22" t="n">
        <f aca="false">IF(B123&lt;=0,0,MAX(0,(B123-C123)*'Loan Calculator'!B7))</f>
        <v>0</v>
      </c>
      <c r="H123" s="22" t="n">
        <f aca="false">IF(B123&lt;=0,0,F123-G123)</f>
        <v>0</v>
      </c>
      <c r="I123" s="22" t="n">
        <f aca="false">IF(B123&lt;=0,0,MAX(0,B123-C123-H123))</f>
        <v>0</v>
      </c>
      <c r="J123" s="22" t="n">
        <f aca="false">J122+G123</f>
        <v>1973.65586085751</v>
      </c>
    </row>
    <row r="124" customFormat="false" ht="15" hidden="false" customHeight="false" outlineLevel="0" collapsed="false">
      <c r="A124" s="18" t="n">
        <v>123</v>
      </c>
      <c r="B124" s="19" t="n">
        <f aca="false">MAX(0,I123)</f>
        <v>0</v>
      </c>
      <c r="C124" s="19" t="n">
        <f aca="false">IF(B124&lt;=0,0,IF(A124='Loan Calculator'!B12,MIN('Loan Calculator'!B11,B124),0)+IF(A124='Loan Calculator'!B14,MIN('Loan Calculator'!B13,B124),0))</f>
        <v>0</v>
      </c>
      <c r="D124" s="19" t="n">
        <f aca="false">IF(B124&lt;=0,0,'Loan Calculator'!B4)</f>
        <v>0</v>
      </c>
      <c r="E124" s="19" t="n">
        <f aca="false">IF(B124&lt;=0,0,IF(A124&gt;='Loan Calculator'!B18,'Loan Calculator'!B17,0)+IF(A124&gt;='Loan Calculator'!B20,'Loan Calculator'!B19,0)+IF(A124&gt;='Loan Calculator'!B22,'Loan Calculator'!B21,0))</f>
        <v>0</v>
      </c>
      <c r="F124" s="19" t="n">
        <f aca="false">IF(B124&lt;=0,0,MIN(D124+E124,(B124-C124)*(1+'Loan Calculator'!B7)))</f>
        <v>0</v>
      </c>
      <c r="G124" s="19" t="n">
        <f aca="false">IF(B124&lt;=0,0,MAX(0,(B124-C124)*'Loan Calculator'!B7))</f>
        <v>0</v>
      </c>
      <c r="H124" s="19" t="n">
        <f aca="false">IF(B124&lt;=0,0,F124-G124)</f>
        <v>0</v>
      </c>
      <c r="I124" s="19" t="n">
        <f aca="false">IF(B124&lt;=0,0,MAX(0,B124-C124-H124))</f>
        <v>0</v>
      </c>
      <c r="J124" s="19" t="n">
        <f aca="false">J123+G124</f>
        <v>1973.65586085751</v>
      </c>
    </row>
    <row r="125" customFormat="false" ht="15" hidden="false" customHeight="false" outlineLevel="0" collapsed="false">
      <c r="A125" s="21" t="n">
        <v>124</v>
      </c>
      <c r="B125" s="22" t="n">
        <f aca="false">MAX(0,I124)</f>
        <v>0</v>
      </c>
      <c r="C125" s="22" t="n">
        <f aca="false">IF(B125&lt;=0,0,IF(A125='Loan Calculator'!B12,MIN('Loan Calculator'!B11,B125),0)+IF(A125='Loan Calculator'!B14,MIN('Loan Calculator'!B13,B125),0))</f>
        <v>0</v>
      </c>
      <c r="D125" s="22" t="n">
        <f aca="false">IF(B125&lt;=0,0,'Loan Calculator'!B4)</f>
        <v>0</v>
      </c>
      <c r="E125" s="22" t="n">
        <f aca="false">IF(B125&lt;=0,0,IF(A125&gt;='Loan Calculator'!B18,'Loan Calculator'!B17,0)+IF(A125&gt;='Loan Calculator'!B20,'Loan Calculator'!B19,0)+IF(A125&gt;='Loan Calculator'!B22,'Loan Calculator'!B21,0))</f>
        <v>0</v>
      </c>
      <c r="F125" s="22" t="n">
        <f aca="false">IF(B125&lt;=0,0,MIN(D125+E125,(B125-C125)*(1+'Loan Calculator'!B7)))</f>
        <v>0</v>
      </c>
      <c r="G125" s="22" t="n">
        <f aca="false">IF(B125&lt;=0,0,MAX(0,(B125-C125)*'Loan Calculator'!B7))</f>
        <v>0</v>
      </c>
      <c r="H125" s="22" t="n">
        <f aca="false">IF(B125&lt;=0,0,F125-G125)</f>
        <v>0</v>
      </c>
      <c r="I125" s="22" t="n">
        <f aca="false">IF(B125&lt;=0,0,MAX(0,B125-C125-H125))</f>
        <v>0</v>
      </c>
      <c r="J125" s="22" t="n">
        <f aca="false">J124+G125</f>
        <v>1973.65586085751</v>
      </c>
    </row>
    <row r="126" customFormat="false" ht="15" hidden="false" customHeight="false" outlineLevel="0" collapsed="false">
      <c r="A126" s="18" t="n">
        <v>125</v>
      </c>
      <c r="B126" s="19" t="n">
        <f aca="false">MAX(0,I125)</f>
        <v>0</v>
      </c>
      <c r="C126" s="19" t="n">
        <f aca="false">IF(B126&lt;=0,0,IF(A126='Loan Calculator'!B12,MIN('Loan Calculator'!B11,B126),0)+IF(A126='Loan Calculator'!B14,MIN('Loan Calculator'!B13,B126),0))</f>
        <v>0</v>
      </c>
      <c r="D126" s="19" t="n">
        <f aca="false">IF(B126&lt;=0,0,'Loan Calculator'!B4)</f>
        <v>0</v>
      </c>
      <c r="E126" s="19" t="n">
        <f aca="false">IF(B126&lt;=0,0,IF(A126&gt;='Loan Calculator'!B18,'Loan Calculator'!B17,0)+IF(A126&gt;='Loan Calculator'!B20,'Loan Calculator'!B19,0)+IF(A126&gt;='Loan Calculator'!B22,'Loan Calculator'!B21,0))</f>
        <v>0</v>
      </c>
      <c r="F126" s="19" t="n">
        <f aca="false">IF(B126&lt;=0,0,MIN(D126+E126,(B126-C126)*(1+'Loan Calculator'!B7)))</f>
        <v>0</v>
      </c>
      <c r="G126" s="19" t="n">
        <f aca="false">IF(B126&lt;=0,0,MAX(0,(B126-C126)*'Loan Calculator'!B7))</f>
        <v>0</v>
      </c>
      <c r="H126" s="19" t="n">
        <f aca="false">IF(B126&lt;=0,0,F126-G126)</f>
        <v>0</v>
      </c>
      <c r="I126" s="19" t="n">
        <f aca="false">IF(B126&lt;=0,0,MAX(0,B126-C126-H126))</f>
        <v>0</v>
      </c>
      <c r="J126" s="19" t="n">
        <f aca="false">J125+G126</f>
        <v>1973.65586085751</v>
      </c>
    </row>
    <row r="127" customFormat="false" ht="15" hidden="false" customHeight="false" outlineLevel="0" collapsed="false">
      <c r="A127" s="21" t="n">
        <v>126</v>
      </c>
      <c r="B127" s="22" t="n">
        <f aca="false">MAX(0,I126)</f>
        <v>0</v>
      </c>
      <c r="C127" s="22" t="n">
        <f aca="false">IF(B127&lt;=0,0,IF(A127='Loan Calculator'!B12,MIN('Loan Calculator'!B11,B127),0)+IF(A127='Loan Calculator'!B14,MIN('Loan Calculator'!B13,B127),0))</f>
        <v>0</v>
      </c>
      <c r="D127" s="22" t="n">
        <f aca="false">IF(B127&lt;=0,0,'Loan Calculator'!B4)</f>
        <v>0</v>
      </c>
      <c r="E127" s="22" t="n">
        <f aca="false">IF(B127&lt;=0,0,IF(A127&gt;='Loan Calculator'!B18,'Loan Calculator'!B17,0)+IF(A127&gt;='Loan Calculator'!B20,'Loan Calculator'!B19,0)+IF(A127&gt;='Loan Calculator'!B22,'Loan Calculator'!B21,0))</f>
        <v>0</v>
      </c>
      <c r="F127" s="22" t="n">
        <f aca="false">IF(B127&lt;=0,0,MIN(D127+E127,(B127-C127)*(1+'Loan Calculator'!B7)))</f>
        <v>0</v>
      </c>
      <c r="G127" s="22" t="n">
        <f aca="false">IF(B127&lt;=0,0,MAX(0,(B127-C127)*'Loan Calculator'!B7))</f>
        <v>0</v>
      </c>
      <c r="H127" s="22" t="n">
        <f aca="false">IF(B127&lt;=0,0,F127-G127)</f>
        <v>0</v>
      </c>
      <c r="I127" s="22" t="n">
        <f aca="false">IF(B127&lt;=0,0,MAX(0,B127-C127-H127))</f>
        <v>0</v>
      </c>
      <c r="J127" s="22" t="n">
        <f aca="false">J126+G127</f>
        <v>1973.65586085751</v>
      </c>
    </row>
    <row r="128" customFormat="false" ht="15" hidden="false" customHeight="false" outlineLevel="0" collapsed="false">
      <c r="A128" s="18" t="n">
        <v>127</v>
      </c>
      <c r="B128" s="19" t="n">
        <f aca="false">MAX(0,I127)</f>
        <v>0</v>
      </c>
      <c r="C128" s="19" t="n">
        <f aca="false">IF(B128&lt;=0,0,IF(A128='Loan Calculator'!B12,MIN('Loan Calculator'!B11,B128),0)+IF(A128='Loan Calculator'!B14,MIN('Loan Calculator'!B13,B128),0))</f>
        <v>0</v>
      </c>
      <c r="D128" s="19" t="n">
        <f aca="false">IF(B128&lt;=0,0,'Loan Calculator'!B4)</f>
        <v>0</v>
      </c>
      <c r="E128" s="19" t="n">
        <f aca="false">IF(B128&lt;=0,0,IF(A128&gt;='Loan Calculator'!B18,'Loan Calculator'!B17,0)+IF(A128&gt;='Loan Calculator'!B20,'Loan Calculator'!B19,0)+IF(A128&gt;='Loan Calculator'!B22,'Loan Calculator'!B21,0))</f>
        <v>0</v>
      </c>
      <c r="F128" s="19" t="n">
        <f aca="false">IF(B128&lt;=0,0,MIN(D128+E128,(B128-C128)*(1+'Loan Calculator'!B7)))</f>
        <v>0</v>
      </c>
      <c r="G128" s="19" t="n">
        <f aca="false">IF(B128&lt;=0,0,MAX(0,(B128-C128)*'Loan Calculator'!B7))</f>
        <v>0</v>
      </c>
      <c r="H128" s="19" t="n">
        <f aca="false">IF(B128&lt;=0,0,F128-G128)</f>
        <v>0</v>
      </c>
      <c r="I128" s="19" t="n">
        <f aca="false">IF(B128&lt;=0,0,MAX(0,B128-C128-H128))</f>
        <v>0</v>
      </c>
      <c r="J128" s="19" t="n">
        <f aca="false">J127+G128</f>
        <v>1973.65586085751</v>
      </c>
    </row>
    <row r="129" customFormat="false" ht="15" hidden="false" customHeight="false" outlineLevel="0" collapsed="false">
      <c r="A129" s="21" t="n">
        <v>128</v>
      </c>
      <c r="B129" s="22" t="n">
        <f aca="false">MAX(0,I128)</f>
        <v>0</v>
      </c>
      <c r="C129" s="22" t="n">
        <f aca="false">IF(B129&lt;=0,0,IF(A129='Loan Calculator'!B12,MIN('Loan Calculator'!B11,B129),0)+IF(A129='Loan Calculator'!B14,MIN('Loan Calculator'!B13,B129),0))</f>
        <v>0</v>
      </c>
      <c r="D129" s="22" t="n">
        <f aca="false">IF(B129&lt;=0,0,'Loan Calculator'!B4)</f>
        <v>0</v>
      </c>
      <c r="E129" s="22" t="n">
        <f aca="false">IF(B129&lt;=0,0,IF(A129&gt;='Loan Calculator'!B18,'Loan Calculator'!B17,0)+IF(A129&gt;='Loan Calculator'!B20,'Loan Calculator'!B19,0)+IF(A129&gt;='Loan Calculator'!B22,'Loan Calculator'!B21,0))</f>
        <v>0</v>
      </c>
      <c r="F129" s="22" t="n">
        <f aca="false">IF(B129&lt;=0,0,MIN(D129+E129,(B129-C129)*(1+'Loan Calculator'!B7)))</f>
        <v>0</v>
      </c>
      <c r="G129" s="22" t="n">
        <f aca="false">IF(B129&lt;=0,0,MAX(0,(B129-C129)*'Loan Calculator'!B7))</f>
        <v>0</v>
      </c>
      <c r="H129" s="22" t="n">
        <f aca="false">IF(B129&lt;=0,0,F129-G129)</f>
        <v>0</v>
      </c>
      <c r="I129" s="22" t="n">
        <f aca="false">IF(B129&lt;=0,0,MAX(0,B129-C129-H129))</f>
        <v>0</v>
      </c>
      <c r="J129" s="22" t="n">
        <f aca="false">J128+G129</f>
        <v>1973.65586085751</v>
      </c>
    </row>
    <row r="130" customFormat="false" ht="15" hidden="false" customHeight="false" outlineLevel="0" collapsed="false">
      <c r="A130" s="18" t="n">
        <v>129</v>
      </c>
      <c r="B130" s="19" t="n">
        <f aca="false">MAX(0,I129)</f>
        <v>0</v>
      </c>
      <c r="C130" s="19" t="n">
        <f aca="false">IF(B130&lt;=0,0,IF(A130='Loan Calculator'!B12,MIN('Loan Calculator'!B11,B130),0)+IF(A130='Loan Calculator'!B14,MIN('Loan Calculator'!B13,B130),0))</f>
        <v>0</v>
      </c>
      <c r="D130" s="19" t="n">
        <f aca="false">IF(B130&lt;=0,0,'Loan Calculator'!B4)</f>
        <v>0</v>
      </c>
      <c r="E130" s="19" t="n">
        <f aca="false">IF(B130&lt;=0,0,IF(A130&gt;='Loan Calculator'!B18,'Loan Calculator'!B17,0)+IF(A130&gt;='Loan Calculator'!B20,'Loan Calculator'!B19,0)+IF(A130&gt;='Loan Calculator'!B22,'Loan Calculator'!B21,0))</f>
        <v>0</v>
      </c>
      <c r="F130" s="19" t="n">
        <f aca="false">IF(B130&lt;=0,0,MIN(D130+E130,(B130-C130)*(1+'Loan Calculator'!B7)))</f>
        <v>0</v>
      </c>
      <c r="G130" s="19" t="n">
        <f aca="false">IF(B130&lt;=0,0,MAX(0,(B130-C130)*'Loan Calculator'!B7))</f>
        <v>0</v>
      </c>
      <c r="H130" s="19" t="n">
        <f aca="false">IF(B130&lt;=0,0,F130-G130)</f>
        <v>0</v>
      </c>
      <c r="I130" s="19" t="n">
        <f aca="false">IF(B130&lt;=0,0,MAX(0,B130-C130-H130))</f>
        <v>0</v>
      </c>
      <c r="J130" s="19" t="n">
        <f aca="false">J129+G130</f>
        <v>1973.65586085751</v>
      </c>
    </row>
    <row r="131" customFormat="false" ht="15" hidden="false" customHeight="false" outlineLevel="0" collapsed="false">
      <c r="A131" s="21" t="n">
        <v>130</v>
      </c>
      <c r="B131" s="22" t="n">
        <f aca="false">MAX(0,I130)</f>
        <v>0</v>
      </c>
      <c r="C131" s="22" t="n">
        <f aca="false">IF(B131&lt;=0,0,IF(A131='Loan Calculator'!B12,MIN('Loan Calculator'!B11,B131),0)+IF(A131='Loan Calculator'!B14,MIN('Loan Calculator'!B13,B131),0))</f>
        <v>0</v>
      </c>
      <c r="D131" s="22" t="n">
        <f aca="false">IF(B131&lt;=0,0,'Loan Calculator'!B4)</f>
        <v>0</v>
      </c>
      <c r="E131" s="22" t="n">
        <f aca="false">IF(B131&lt;=0,0,IF(A131&gt;='Loan Calculator'!B18,'Loan Calculator'!B17,0)+IF(A131&gt;='Loan Calculator'!B20,'Loan Calculator'!B19,0)+IF(A131&gt;='Loan Calculator'!B22,'Loan Calculator'!B21,0))</f>
        <v>0</v>
      </c>
      <c r="F131" s="22" t="n">
        <f aca="false">IF(B131&lt;=0,0,MIN(D131+E131,(B131-C131)*(1+'Loan Calculator'!B7)))</f>
        <v>0</v>
      </c>
      <c r="G131" s="22" t="n">
        <f aca="false">IF(B131&lt;=0,0,MAX(0,(B131-C131)*'Loan Calculator'!B7))</f>
        <v>0</v>
      </c>
      <c r="H131" s="22" t="n">
        <f aca="false">IF(B131&lt;=0,0,F131-G131)</f>
        <v>0</v>
      </c>
      <c r="I131" s="22" t="n">
        <f aca="false">IF(B131&lt;=0,0,MAX(0,B131-C131-H131))</f>
        <v>0</v>
      </c>
      <c r="J131" s="22" t="n">
        <f aca="false">J130+G131</f>
        <v>1973.65586085751</v>
      </c>
    </row>
    <row r="132" customFormat="false" ht="15" hidden="false" customHeight="false" outlineLevel="0" collapsed="false">
      <c r="A132" s="18" t="n">
        <v>131</v>
      </c>
      <c r="B132" s="19" t="n">
        <f aca="false">MAX(0,I131)</f>
        <v>0</v>
      </c>
      <c r="C132" s="19" t="n">
        <f aca="false">IF(B132&lt;=0,0,IF(A132='Loan Calculator'!B12,MIN('Loan Calculator'!B11,B132),0)+IF(A132='Loan Calculator'!B14,MIN('Loan Calculator'!B13,B132),0))</f>
        <v>0</v>
      </c>
      <c r="D132" s="19" t="n">
        <f aca="false">IF(B132&lt;=0,0,'Loan Calculator'!B4)</f>
        <v>0</v>
      </c>
      <c r="E132" s="19" t="n">
        <f aca="false">IF(B132&lt;=0,0,IF(A132&gt;='Loan Calculator'!B18,'Loan Calculator'!B17,0)+IF(A132&gt;='Loan Calculator'!B20,'Loan Calculator'!B19,0)+IF(A132&gt;='Loan Calculator'!B22,'Loan Calculator'!B21,0))</f>
        <v>0</v>
      </c>
      <c r="F132" s="19" t="n">
        <f aca="false">IF(B132&lt;=0,0,MIN(D132+E132,(B132-C132)*(1+'Loan Calculator'!B7)))</f>
        <v>0</v>
      </c>
      <c r="G132" s="19" t="n">
        <f aca="false">IF(B132&lt;=0,0,MAX(0,(B132-C132)*'Loan Calculator'!B7))</f>
        <v>0</v>
      </c>
      <c r="H132" s="19" t="n">
        <f aca="false">IF(B132&lt;=0,0,F132-G132)</f>
        <v>0</v>
      </c>
      <c r="I132" s="19" t="n">
        <f aca="false">IF(B132&lt;=0,0,MAX(0,B132-C132-H132))</f>
        <v>0</v>
      </c>
      <c r="J132" s="19" t="n">
        <f aca="false">J131+G132</f>
        <v>1973.65586085751</v>
      </c>
    </row>
    <row r="133" customFormat="false" ht="15" hidden="false" customHeight="false" outlineLevel="0" collapsed="false">
      <c r="A133" s="21" t="n">
        <v>132</v>
      </c>
      <c r="B133" s="22" t="n">
        <f aca="false">MAX(0,I132)</f>
        <v>0</v>
      </c>
      <c r="C133" s="22" t="n">
        <f aca="false">IF(B133&lt;=0,0,IF(A133='Loan Calculator'!B12,MIN('Loan Calculator'!B11,B133),0)+IF(A133='Loan Calculator'!B14,MIN('Loan Calculator'!B13,B133),0))</f>
        <v>0</v>
      </c>
      <c r="D133" s="22" t="n">
        <f aca="false">IF(B133&lt;=0,0,'Loan Calculator'!B4)</f>
        <v>0</v>
      </c>
      <c r="E133" s="22" t="n">
        <f aca="false">IF(B133&lt;=0,0,IF(A133&gt;='Loan Calculator'!B18,'Loan Calculator'!B17,0)+IF(A133&gt;='Loan Calculator'!B20,'Loan Calculator'!B19,0)+IF(A133&gt;='Loan Calculator'!B22,'Loan Calculator'!B21,0))</f>
        <v>0</v>
      </c>
      <c r="F133" s="22" t="n">
        <f aca="false">IF(B133&lt;=0,0,MIN(D133+E133,(B133-C133)*(1+'Loan Calculator'!B7)))</f>
        <v>0</v>
      </c>
      <c r="G133" s="22" t="n">
        <f aca="false">IF(B133&lt;=0,0,MAX(0,(B133-C133)*'Loan Calculator'!B7))</f>
        <v>0</v>
      </c>
      <c r="H133" s="22" t="n">
        <f aca="false">IF(B133&lt;=0,0,F133-G133)</f>
        <v>0</v>
      </c>
      <c r="I133" s="22" t="n">
        <f aca="false">IF(B133&lt;=0,0,MAX(0,B133-C133-H133))</f>
        <v>0</v>
      </c>
      <c r="J133" s="22" t="n">
        <f aca="false">J132+G133</f>
        <v>1973.65586085751</v>
      </c>
    </row>
    <row r="134" customFormat="false" ht="15" hidden="false" customHeight="false" outlineLevel="0" collapsed="false">
      <c r="A134" s="18" t="n">
        <v>133</v>
      </c>
      <c r="B134" s="19" t="n">
        <f aca="false">MAX(0,I133)</f>
        <v>0</v>
      </c>
      <c r="C134" s="19" t="n">
        <f aca="false">IF(B134&lt;=0,0,IF(A134='Loan Calculator'!B12,MIN('Loan Calculator'!B11,B134),0)+IF(A134='Loan Calculator'!B14,MIN('Loan Calculator'!B13,B134),0))</f>
        <v>0</v>
      </c>
      <c r="D134" s="19" t="n">
        <f aca="false">IF(B134&lt;=0,0,'Loan Calculator'!B4)</f>
        <v>0</v>
      </c>
      <c r="E134" s="19" t="n">
        <f aca="false">IF(B134&lt;=0,0,IF(A134&gt;='Loan Calculator'!B18,'Loan Calculator'!B17,0)+IF(A134&gt;='Loan Calculator'!B20,'Loan Calculator'!B19,0)+IF(A134&gt;='Loan Calculator'!B22,'Loan Calculator'!B21,0))</f>
        <v>0</v>
      </c>
      <c r="F134" s="19" t="n">
        <f aca="false">IF(B134&lt;=0,0,MIN(D134+E134,(B134-C134)*(1+'Loan Calculator'!B7)))</f>
        <v>0</v>
      </c>
      <c r="G134" s="19" t="n">
        <f aca="false">IF(B134&lt;=0,0,MAX(0,(B134-C134)*'Loan Calculator'!B7))</f>
        <v>0</v>
      </c>
      <c r="H134" s="19" t="n">
        <f aca="false">IF(B134&lt;=0,0,F134-G134)</f>
        <v>0</v>
      </c>
      <c r="I134" s="19" t="n">
        <f aca="false">IF(B134&lt;=0,0,MAX(0,B134-C134-H134))</f>
        <v>0</v>
      </c>
      <c r="J134" s="19" t="n">
        <f aca="false">J133+G134</f>
        <v>1973.65586085751</v>
      </c>
    </row>
    <row r="135" customFormat="false" ht="15" hidden="false" customHeight="false" outlineLevel="0" collapsed="false">
      <c r="A135" s="21" t="n">
        <v>134</v>
      </c>
      <c r="B135" s="22" t="n">
        <f aca="false">MAX(0,I134)</f>
        <v>0</v>
      </c>
      <c r="C135" s="22" t="n">
        <f aca="false">IF(B135&lt;=0,0,IF(A135='Loan Calculator'!B12,MIN('Loan Calculator'!B11,B135),0)+IF(A135='Loan Calculator'!B14,MIN('Loan Calculator'!B13,B135),0))</f>
        <v>0</v>
      </c>
      <c r="D135" s="22" t="n">
        <f aca="false">IF(B135&lt;=0,0,'Loan Calculator'!B4)</f>
        <v>0</v>
      </c>
      <c r="E135" s="22" t="n">
        <f aca="false">IF(B135&lt;=0,0,IF(A135&gt;='Loan Calculator'!B18,'Loan Calculator'!B17,0)+IF(A135&gt;='Loan Calculator'!B20,'Loan Calculator'!B19,0)+IF(A135&gt;='Loan Calculator'!B22,'Loan Calculator'!B21,0))</f>
        <v>0</v>
      </c>
      <c r="F135" s="22" t="n">
        <f aca="false">IF(B135&lt;=0,0,MIN(D135+E135,(B135-C135)*(1+'Loan Calculator'!B7)))</f>
        <v>0</v>
      </c>
      <c r="G135" s="22" t="n">
        <f aca="false">IF(B135&lt;=0,0,MAX(0,(B135-C135)*'Loan Calculator'!B7))</f>
        <v>0</v>
      </c>
      <c r="H135" s="22" t="n">
        <f aca="false">IF(B135&lt;=0,0,F135-G135)</f>
        <v>0</v>
      </c>
      <c r="I135" s="22" t="n">
        <f aca="false">IF(B135&lt;=0,0,MAX(0,B135-C135-H135))</f>
        <v>0</v>
      </c>
      <c r="J135" s="22" t="n">
        <f aca="false">J134+G135</f>
        <v>1973.65586085751</v>
      </c>
    </row>
    <row r="136" customFormat="false" ht="15" hidden="false" customHeight="false" outlineLevel="0" collapsed="false">
      <c r="A136" s="18" t="n">
        <v>135</v>
      </c>
      <c r="B136" s="19" t="n">
        <f aca="false">MAX(0,I135)</f>
        <v>0</v>
      </c>
      <c r="C136" s="19" t="n">
        <f aca="false">IF(B136&lt;=0,0,IF(A136='Loan Calculator'!B12,MIN('Loan Calculator'!B11,B136),0)+IF(A136='Loan Calculator'!B14,MIN('Loan Calculator'!B13,B136),0))</f>
        <v>0</v>
      </c>
      <c r="D136" s="19" t="n">
        <f aca="false">IF(B136&lt;=0,0,'Loan Calculator'!B4)</f>
        <v>0</v>
      </c>
      <c r="E136" s="19" t="n">
        <f aca="false">IF(B136&lt;=0,0,IF(A136&gt;='Loan Calculator'!B18,'Loan Calculator'!B17,0)+IF(A136&gt;='Loan Calculator'!B20,'Loan Calculator'!B19,0)+IF(A136&gt;='Loan Calculator'!B22,'Loan Calculator'!B21,0))</f>
        <v>0</v>
      </c>
      <c r="F136" s="19" t="n">
        <f aca="false">IF(B136&lt;=0,0,MIN(D136+E136,(B136-C136)*(1+'Loan Calculator'!B7)))</f>
        <v>0</v>
      </c>
      <c r="G136" s="19" t="n">
        <f aca="false">IF(B136&lt;=0,0,MAX(0,(B136-C136)*'Loan Calculator'!B7))</f>
        <v>0</v>
      </c>
      <c r="H136" s="19" t="n">
        <f aca="false">IF(B136&lt;=0,0,F136-G136)</f>
        <v>0</v>
      </c>
      <c r="I136" s="19" t="n">
        <f aca="false">IF(B136&lt;=0,0,MAX(0,B136-C136-H136))</f>
        <v>0</v>
      </c>
      <c r="J136" s="19" t="n">
        <f aca="false">J135+G136</f>
        <v>1973.65586085751</v>
      </c>
    </row>
    <row r="137" customFormat="false" ht="15" hidden="false" customHeight="false" outlineLevel="0" collapsed="false">
      <c r="A137" s="21" t="n">
        <v>136</v>
      </c>
      <c r="B137" s="22" t="n">
        <f aca="false">MAX(0,I136)</f>
        <v>0</v>
      </c>
      <c r="C137" s="22" t="n">
        <f aca="false">IF(B137&lt;=0,0,IF(A137='Loan Calculator'!B12,MIN('Loan Calculator'!B11,B137),0)+IF(A137='Loan Calculator'!B14,MIN('Loan Calculator'!B13,B137),0))</f>
        <v>0</v>
      </c>
      <c r="D137" s="22" t="n">
        <f aca="false">IF(B137&lt;=0,0,'Loan Calculator'!B4)</f>
        <v>0</v>
      </c>
      <c r="E137" s="22" t="n">
        <f aca="false">IF(B137&lt;=0,0,IF(A137&gt;='Loan Calculator'!B18,'Loan Calculator'!B17,0)+IF(A137&gt;='Loan Calculator'!B20,'Loan Calculator'!B19,0)+IF(A137&gt;='Loan Calculator'!B22,'Loan Calculator'!B21,0))</f>
        <v>0</v>
      </c>
      <c r="F137" s="22" t="n">
        <f aca="false">IF(B137&lt;=0,0,MIN(D137+E137,(B137-C137)*(1+'Loan Calculator'!B7)))</f>
        <v>0</v>
      </c>
      <c r="G137" s="22" t="n">
        <f aca="false">IF(B137&lt;=0,0,MAX(0,(B137-C137)*'Loan Calculator'!B7))</f>
        <v>0</v>
      </c>
      <c r="H137" s="22" t="n">
        <f aca="false">IF(B137&lt;=0,0,F137-G137)</f>
        <v>0</v>
      </c>
      <c r="I137" s="22" t="n">
        <f aca="false">IF(B137&lt;=0,0,MAX(0,B137-C137-H137))</f>
        <v>0</v>
      </c>
      <c r="J137" s="22" t="n">
        <f aca="false">J136+G137</f>
        <v>1973.65586085751</v>
      </c>
    </row>
    <row r="138" customFormat="false" ht="15" hidden="false" customHeight="false" outlineLevel="0" collapsed="false">
      <c r="A138" s="18" t="n">
        <v>137</v>
      </c>
      <c r="B138" s="19" t="n">
        <f aca="false">MAX(0,I137)</f>
        <v>0</v>
      </c>
      <c r="C138" s="19" t="n">
        <f aca="false">IF(B138&lt;=0,0,IF(A138='Loan Calculator'!B12,MIN('Loan Calculator'!B11,B138),0)+IF(A138='Loan Calculator'!B14,MIN('Loan Calculator'!B13,B138),0))</f>
        <v>0</v>
      </c>
      <c r="D138" s="19" t="n">
        <f aca="false">IF(B138&lt;=0,0,'Loan Calculator'!B4)</f>
        <v>0</v>
      </c>
      <c r="E138" s="19" t="n">
        <f aca="false">IF(B138&lt;=0,0,IF(A138&gt;='Loan Calculator'!B18,'Loan Calculator'!B17,0)+IF(A138&gt;='Loan Calculator'!B20,'Loan Calculator'!B19,0)+IF(A138&gt;='Loan Calculator'!B22,'Loan Calculator'!B21,0))</f>
        <v>0</v>
      </c>
      <c r="F138" s="19" t="n">
        <f aca="false">IF(B138&lt;=0,0,MIN(D138+E138,(B138-C138)*(1+'Loan Calculator'!B7)))</f>
        <v>0</v>
      </c>
      <c r="G138" s="19" t="n">
        <f aca="false">IF(B138&lt;=0,0,MAX(0,(B138-C138)*'Loan Calculator'!B7))</f>
        <v>0</v>
      </c>
      <c r="H138" s="19" t="n">
        <f aca="false">IF(B138&lt;=0,0,F138-G138)</f>
        <v>0</v>
      </c>
      <c r="I138" s="19" t="n">
        <f aca="false">IF(B138&lt;=0,0,MAX(0,B138-C138-H138))</f>
        <v>0</v>
      </c>
      <c r="J138" s="19" t="n">
        <f aca="false">J137+G138</f>
        <v>1973.65586085751</v>
      </c>
    </row>
    <row r="139" customFormat="false" ht="15" hidden="false" customHeight="false" outlineLevel="0" collapsed="false">
      <c r="A139" s="21" t="n">
        <v>138</v>
      </c>
      <c r="B139" s="22" t="n">
        <f aca="false">MAX(0,I138)</f>
        <v>0</v>
      </c>
      <c r="C139" s="22" t="n">
        <f aca="false">IF(B139&lt;=0,0,IF(A139='Loan Calculator'!B12,MIN('Loan Calculator'!B11,B139),0)+IF(A139='Loan Calculator'!B14,MIN('Loan Calculator'!B13,B139),0))</f>
        <v>0</v>
      </c>
      <c r="D139" s="22" t="n">
        <f aca="false">IF(B139&lt;=0,0,'Loan Calculator'!B4)</f>
        <v>0</v>
      </c>
      <c r="E139" s="22" t="n">
        <f aca="false">IF(B139&lt;=0,0,IF(A139&gt;='Loan Calculator'!B18,'Loan Calculator'!B17,0)+IF(A139&gt;='Loan Calculator'!B20,'Loan Calculator'!B19,0)+IF(A139&gt;='Loan Calculator'!B22,'Loan Calculator'!B21,0))</f>
        <v>0</v>
      </c>
      <c r="F139" s="22" t="n">
        <f aca="false">IF(B139&lt;=0,0,MIN(D139+E139,(B139-C139)*(1+'Loan Calculator'!B7)))</f>
        <v>0</v>
      </c>
      <c r="G139" s="22" t="n">
        <f aca="false">IF(B139&lt;=0,0,MAX(0,(B139-C139)*'Loan Calculator'!B7))</f>
        <v>0</v>
      </c>
      <c r="H139" s="22" t="n">
        <f aca="false">IF(B139&lt;=0,0,F139-G139)</f>
        <v>0</v>
      </c>
      <c r="I139" s="22" t="n">
        <f aca="false">IF(B139&lt;=0,0,MAX(0,B139-C139-H139))</f>
        <v>0</v>
      </c>
      <c r="J139" s="22" t="n">
        <f aca="false">J138+G139</f>
        <v>1973.65586085751</v>
      </c>
    </row>
    <row r="140" customFormat="false" ht="15" hidden="false" customHeight="false" outlineLevel="0" collapsed="false">
      <c r="A140" s="18" t="n">
        <v>139</v>
      </c>
      <c r="B140" s="19" t="n">
        <f aca="false">MAX(0,I139)</f>
        <v>0</v>
      </c>
      <c r="C140" s="19" t="n">
        <f aca="false">IF(B140&lt;=0,0,IF(A140='Loan Calculator'!B12,MIN('Loan Calculator'!B11,B140),0)+IF(A140='Loan Calculator'!B14,MIN('Loan Calculator'!B13,B140),0))</f>
        <v>0</v>
      </c>
      <c r="D140" s="19" t="n">
        <f aca="false">IF(B140&lt;=0,0,'Loan Calculator'!B4)</f>
        <v>0</v>
      </c>
      <c r="E140" s="19" t="n">
        <f aca="false">IF(B140&lt;=0,0,IF(A140&gt;='Loan Calculator'!B18,'Loan Calculator'!B17,0)+IF(A140&gt;='Loan Calculator'!B20,'Loan Calculator'!B19,0)+IF(A140&gt;='Loan Calculator'!B22,'Loan Calculator'!B21,0))</f>
        <v>0</v>
      </c>
      <c r="F140" s="19" t="n">
        <f aca="false">IF(B140&lt;=0,0,MIN(D140+E140,(B140-C140)*(1+'Loan Calculator'!B7)))</f>
        <v>0</v>
      </c>
      <c r="G140" s="19" t="n">
        <f aca="false">IF(B140&lt;=0,0,MAX(0,(B140-C140)*'Loan Calculator'!B7))</f>
        <v>0</v>
      </c>
      <c r="H140" s="19" t="n">
        <f aca="false">IF(B140&lt;=0,0,F140-G140)</f>
        <v>0</v>
      </c>
      <c r="I140" s="19" t="n">
        <f aca="false">IF(B140&lt;=0,0,MAX(0,B140-C140-H140))</f>
        <v>0</v>
      </c>
      <c r="J140" s="19" t="n">
        <f aca="false">J139+G140</f>
        <v>1973.65586085751</v>
      </c>
    </row>
    <row r="141" customFormat="false" ht="15" hidden="false" customHeight="false" outlineLevel="0" collapsed="false">
      <c r="A141" s="21" t="n">
        <v>140</v>
      </c>
      <c r="B141" s="22" t="n">
        <f aca="false">MAX(0,I140)</f>
        <v>0</v>
      </c>
      <c r="C141" s="22" t="n">
        <f aca="false">IF(B141&lt;=0,0,IF(A141='Loan Calculator'!B12,MIN('Loan Calculator'!B11,B141),0)+IF(A141='Loan Calculator'!B14,MIN('Loan Calculator'!B13,B141),0))</f>
        <v>0</v>
      </c>
      <c r="D141" s="22" t="n">
        <f aca="false">IF(B141&lt;=0,0,'Loan Calculator'!B4)</f>
        <v>0</v>
      </c>
      <c r="E141" s="22" t="n">
        <f aca="false">IF(B141&lt;=0,0,IF(A141&gt;='Loan Calculator'!B18,'Loan Calculator'!B17,0)+IF(A141&gt;='Loan Calculator'!B20,'Loan Calculator'!B19,0)+IF(A141&gt;='Loan Calculator'!B22,'Loan Calculator'!B21,0))</f>
        <v>0</v>
      </c>
      <c r="F141" s="22" t="n">
        <f aca="false">IF(B141&lt;=0,0,MIN(D141+E141,(B141-C141)*(1+'Loan Calculator'!B7)))</f>
        <v>0</v>
      </c>
      <c r="G141" s="22" t="n">
        <f aca="false">IF(B141&lt;=0,0,MAX(0,(B141-C141)*'Loan Calculator'!B7))</f>
        <v>0</v>
      </c>
      <c r="H141" s="22" t="n">
        <f aca="false">IF(B141&lt;=0,0,F141-G141)</f>
        <v>0</v>
      </c>
      <c r="I141" s="22" t="n">
        <f aca="false">IF(B141&lt;=0,0,MAX(0,B141-C141-H141))</f>
        <v>0</v>
      </c>
      <c r="J141" s="22" t="n">
        <f aca="false">J140+G141</f>
        <v>1973.65586085751</v>
      </c>
    </row>
    <row r="142" customFormat="false" ht="15" hidden="false" customHeight="false" outlineLevel="0" collapsed="false">
      <c r="A142" s="18" t="n">
        <v>141</v>
      </c>
      <c r="B142" s="19" t="n">
        <f aca="false">MAX(0,I141)</f>
        <v>0</v>
      </c>
      <c r="C142" s="19" t="n">
        <f aca="false">IF(B142&lt;=0,0,IF(A142='Loan Calculator'!B12,MIN('Loan Calculator'!B11,B142),0)+IF(A142='Loan Calculator'!B14,MIN('Loan Calculator'!B13,B142),0))</f>
        <v>0</v>
      </c>
      <c r="D142" s="19" t="n">
        <f aca="false">IF(B142&lt;=0,0,'Loan Calculator'!B4)</f>
        <v>0</v>
      </c>
      <c r="E142" s="19" t="n">
        <f aca="false">IF(B142&lt;=0,0,IF(A142&gt;='Loan Calculator'!B18,'Loan Calculator'!B17,0)+IF(A142&gt;='Loan Calculator'!B20,'Loan Calculator'!B19,0)+IF(A142&gt;='Loan Calculator'!B22,'Loan Calculator'!B21,0))</f>
        <v>0</v>
      </c>
      <c r="F142" s="19" t="n">
        <f aca="false">IF(B142&lt;=0,0,MIN(D142+E142,(B142-C142)*(1+'Loan Calculator'!B7)))</f>
        <v>0</v>
      </c>
      <c r="G142" s="19" t="n">
        <f aca="false">IF(B142&lt;=0,0,MAX(0,(B142-C142)*'Loan Calculator'!B7))</f>
        <v>0</v>
      </c>
      <c r="H142" s="19" t="n">
        <f aca="false">IF(B142&lt;=0,0,F142-G142)</f>
        <v>0</v>
      </c>
      <c r="I142" s="19" t="n">
        <f aca="false">IF(B142&lt;=0,0,MAX(0,B142-C142-H142))</f>
        <v>0</v>
      </c>
      <c r="J142" s="19" t="n">
        <f aca="false">J141+G142</f>
        <v>1973.65586085751</v>
      </c>
    </row>
    <row r="143" customFormat="false" ht="15" hidden="false" customHeight="false" outlineLevel="0" collapsed="false">
      <c r="A143" s="21" t="n">
        <v>142</v>
      </c>
      <c r="B143" s="22" t="n">
        <f aca="false">MAX(0,I142)</f>
        <v>0</v>
      </c>
      <c r="C143" s="22" t="n">
        <f aca="false">IF(B143&lt;=0,0,IF(A143='Loan Calculator'!B12,MIN('Loan Calculator'!B11,B143),0)+IF(A143='Loan Calculator'!B14,MIN('Loan Calculator'!B13,B143),0))</f>
        <v>0</v>
      </c>
      <c r="D143" s="22" t="n">
        <f aca="false">IF(B143&lt;=0,0,'Loan Calculator'!B4)</f>
        <v>0</v>
      </c>
      <c r="E143" s="22" t="n">
        <f aca="false">IF(B143&lt;=0,0,IF(A143&gt;='Loan Calculator'!B18,'Loan Calculator'!B17,0)+IF(A143&gt;='Loan Calculator'!B20,'Loan Calculator'!B19,0)+IF(A143&gt;='Loan Calculator'!B22,'Loan Calculator'!B21,0))</f>
        <v>0</v>
      </c>
      <c r="F143" s="22" t="n">
        <f aca="false">IF(B143&lt;=0,0,MIN(D143+E143,(B143-C143)*(1+'Loan Calculator'!B7)))</f>
        <v>0</v>
      </c>
      <c r="G143" s="22" t="n">
        <f aca="false">IF(B143&lt;=0,0,MAX(0,(B143-C143)*'Loan Calculator'!B7))</f>
        <v>0</v>
      </c>
      <c r="H143" s="22" t="n">
        <f aca="false">IF(B143&lt;=0,0,F143-G143)</f>
        <v>0</v>
      </c>
      <c r="I143" s="22" t="n">
        <f aca="false">IF(B143&lt;=0,0,MAX(0,B143-C143-H143))</f>
        <v>0</v>
      </c>
      <c r="J143" s="22" t="n">
        <f aca="false">J142+G143</f>
        <v>1973.65586085751</v>
      </c>
    </row>
    <row r="144" customFormat="false" ht="15" hidden="false" customHeight="false" outlineLevel="0" collapsed="false">
      <c r="A144" s="18" t="n">
        <v>143</v>
      </c>
      <c r="B144" s="19" t="n">
        <f aca="false">MAX(0,I143)</f>
        <v>0</v>
      </c>
      <c r="C144" s="19" t="n">
        <f aca="false">IF(B144&lt;=0,0,IF(A144='Loan Calculator'!B12,MIN('Loan Calculator'!B11,B144),0)+IF(A144='Loan Calculator'!B14,MIN('Loan Calculator'!B13,B144),0))</f>
        <v>0</v>
      </c>
      <c r="D144" s="19" t="n">
        <f aca="false">IF(B144&lt;=0,0,'Loan Calculator'!B4)</f>
        <v>0</v>
      </c>
      <c r="E144" s="19" t="n">
        <f aca="false">IF(B144&lt;=0,0,IF(A144&gt;='Loan Calculator'!B18,'Loan Calculator'!B17,0)+IF(A144&gt;='Loan Calculator'!B20,'Loan Calculator'!B19,0)+IF(A144&gt;='Loan Calculator'!B22,'Loan Calculator'!B21,0))</f>
        <v>0</v>
      </c>
      <c r="F144" s="19" t="n">
        <f aca="false">IF(B144&lt;=0,0,MIN(D144+E144,(B144-C144)*(1+'Loan Calculator'!B7)))</f>
        <v>0</v>
      </c>
      <c r="G144" s="19" t="n">
        <f aca="false">IF(B144&lt;=0,0,MAX(0,(B144-C144)*'Loan Calculator'!B7))</f>
        <v>0</v>
      </c>
      <c r="H144" s="19" t="n">
        <f aca="false">IF(B144&lt;=0,0,F144-G144)</f>
        <v>0</v>
      </c>
      <c r="I144" s="19" t="n">
        <f aca="false">IF(B144&lt;=0,0,MAX(0,B144-C144-H144))</f>
        <v>0</v>
      </c>
      <c r="J144" s="19" t="n">
        <f aca="false">J143+G144</f>
        <v>1973.65586085751</v>
      </c>
    </row>
    <row r="145" customFormat="false" ht="15" hidden="false" customHeight="false" outlineLevel="0" collapsed="false">
      <c r="A145" s="21" t="n">
        <v>144</v>
      </c>
      <c r="B145" s="22" t="n">
        <f aca="false">MAX(0,I144)</f>
        <v>0</v>
      </c>
      <c r="C145" s="22" t="n">
        <f aca="false">IF(B145&lt;=0,0,IF(A145='Loan Calculator'!B12,MIN('Loan Calculator'!B11,B145),0)+IF(A145='Loan Calculator'!B14,MIN('Loan Calculator'!B13,B145),0))</f>
        <v>0</v>
      </c>
      <c r="D145" s="22" t="n">
        <f aca="false">IF(B145&lt;=0,0,'Loan Calculator'!B4)</f>
        <v>0</v>
      </c>
      <c r="E145" s="22" t="n">
        <f aca="false">IF(B145&lt;=0,0,IF(A145&gt;='Loan Calculator'!B18,'Loan Calculator'!B17,0)+IF(A145&gt;='Loan Calculator'!B20,'Loan Calculator'!B19,0)+IF(A145&gt;='Loan Calculator'!B22,'Loan Calculator'!B21,0))</f>
        <v>0</v>
      </c>
      <c r="F145" s="22" t="n">
        <f aca="false">IF(B145&lt;=0,0,MIN(D145+E145,(B145-C145)*(1+'Loan Calculator'!B7)))</f>
        <v>0</v>
      </c>
      <c r="G145" s="22" t="n">
        <f aca="false">IF(B145&lt;=0,0,MAX(0,(B145-C145)*'Loan Calculator'!B7))</f>
        <v>0</v>
      </c>
      <c r="H145" s="22" t="n">
        <f aca="false">IF(B145&lt;=0,0,F145-G145)</f>
        <v>0</v>
      </c>
      <c r="I145" s="22" t="n">
        <f aca="false">IF(B145&lt;=0,0,MAX(0,B145-C145-H145))</f>
        <v>0</v>
      </c>
      <c r="J145" s="22" t="n">
        <f aca="false">J144+G145</f>
        <v>1973.65586085751</v>
      </c>
    </row>
    <row r="146" customFormat="false" ht="15" hidden="false" customHeight="false" outlineLevel="0" collapsed="false">
      <c r="A146" s="18" t="n">
        <v>145</v>
      </c>
      <c r="B146" s="19" t="n">
        <f aca="false">MAX(0,I145)</f>
        <v>0</v>
      </c>
      <c r="C146" s="19" t="n">
        <f aca="false">IF(B146&lt;=0,0,IF(A146='Loan Calculator'!B12,MIN('Loan Calculator'!B11,B146),0)+IF(A146='Loan Calculator'!B14,MIN('Loan Calculator'!B13,B146),0))</f>
        <v>0</v>
      </c>
      <c r="D146" s="19" t="n">
        <f aca="false">IF(B146&lt;=0,0,'Loan Calculator'!B4)</f>
        <v>0</v>
      </c>
      <c r="E146" s="19" t="n">
        <f aca="false">IF(B146&lt;=0,0,IF(A146&gt;='Loan Calculator'!B18,'Loan Calculator'!B17,0)+IF(A146&gt;='Loan Calculator'!B20,'Loan Calculator'!B19,0)+IF(A146&gt;='Loan Calculator'!B22,'Loan Calculator'!B21,0))</f>
        <v>0</v>
      </c>
      <c r="F146" s="19" t="n">
        <f aca="false">IF(B146&lt;=0,0,MIN(D146+E146,(B146-C146)*(1+'Loan Calculator'!B7)))</f>
        <v>0</v>
      </c>
      <c r="G146" s="19" t="n">
        <f aca="false">IF(B146&lt;=0,0,MAX(0,(B146-C146)*'Loan Calculator'!B7))</f>
        <v>0</v>
      </c>
      <c r="H146" s="19" t="n">
        <f aca="false">IF(B146&lt;=0,0,F146-G146)</f>
        <v>0</v>
      </c>
      <c r="I146" s="19" t="n">
        <f aca="false">IF(B146&lt;=0,0,MAX(0,B146-C146-H146))</f>
        <v>0</v>
      </c>
      <c r="J146" s="19" t="n">
        <f aca="false">J145+G146</f>
        <v>1973.65586085751</v>
      </c>
    </row>
    <row r="147" customFormat="false" ht="15" hidden="false" customHeight="false" outlineLevel="0" collapsed="false">
      <c r="A147" s="21" t="n">
        <v>146</v>
      </c>
      <c r="B147" s="22" t="n">
        <f aca="false">MAX(0,I146)</f>
        <v>0</v>
      </c>
      <c r="C147" s="22" t="n">
        <f aca="false">IF(B147&lt;=0,0,IF(A147='Loan Calculator'!B12,MIN('Loan Calculator'!B11,B147),0)+IF(A147='Loan Calculator'!B14,MIN('Loan Calculator'!B13,B147),0))</f>
        <v>0</v>
      </c>
      <c r="D147" s="22" t="n">
        <f aca="false">IF(B147&lt;=0,0,'Loan Calculator'!B4)</f>
        <v>0</v>
      </c>
      <c r="E147" s="22" t="n">
        <f aca="false">IF(B147&lt;=0,0,IF(A147&gt;='Loan Calculator'!B18,'Loan Calculator'!B17,0)+IF(A147&gt;='Loan Calculator'!B20,'Loan Calculator'!B19,0)+IF(A147&gt;='Loan Calculator'!B22,'Loan Calculator'!B21,0))</f>
        <v>0</v>
      </c>
      <c r="F147" s="22" t="n">
        <f aca="false">IF(B147&lt;=0,0,MIN(D147+E147,(B147-C147)*(1+'Loan Calculator'!B7)))</f>
        <v>0</v>
      </c>
      <c r="G147" s="22" t="n">
        <f aca="false">IF(B147&lt;=0,0,MAX(0,(B147-C147)*'Loan Calculator'!B7))</f>
        <v>0</v>
      </c>
      <c r="H147" s="22" t="n">
        <f aca="false">IF(B147&lt;=0,0,F147-G147)</f>
        <v>0</v>
      </c>
      <c r="I147" s="22" t="n">
        <f aca="false">IF(B147&lt;=0,0,MAX(0,B147-C147-H147))</f>
        <v>0</v>
      </c>
      <c r="J147" s="22" t="n">
        <f aca="false">J146+G147</f>
        <v>1973.65586085751</v>
      </c>
    </row>
    <row r="148" customFormat="false" ht="15" hidden="false" customHeight="false" outlineLevel="0" collapsed="false">
      <c r="A148" s="18" t="n">
        <v>147</v>
      </c>
      <c r="B148" s="19" t="n">
        <f aca="false">MAX(0,I147)</f>
        <v>0</v>
      </c>
      <c r="C148" s="19" t="n">
        <f aca="false">IF(B148&lt;=0,0,IF(A148='Loan Calculator'!B12,MIN('Loan Calculator'!B11,B148),0)+IF(A148='Loan Calculator'!B14,MIN('Loan Calculator'!B13,B148),0))</f>
        <v>0</v>
      </c>
      <c r="D148" s="19" t="n">
        <f aca="false">IF(B148&lt;=0,0,'Loan Calculator'!B4)</f>
        <v>0</v>
      </c>
      <c r="E148" s="19" t="n">
        <f aca="false">IF(B148&lt;=0,0,IF(A148&gt;='Loan Calculator'!B18,'Loan Calculator'!B17,0)+IF(A148&gt;='Loan Calculator'!B20,'Loan Calculator'!B19,0)+IF(A148&gt;='Loan Calculator'!B22,'Loan Calculator'!B21,0))</f>
        <v>0</v>
      </c>
      <c r="F148" s="19" t="n">
        <f aca="false">IF(B148&lt;=0,0,MIN(D148+E148,(B148-C148)*(1+'Loan Calculator'!B7)))</f>
        <v>0</v>
      </c>
      <c r="G148" s="19" t="n">
        <f aca="false">IF(B148&lt;=0,0,MAX(0,(B148-C148)*'Loan Calculator'!B7))</f>
        <v>0</v>
      </c>
      <c r="H148" s="19" t="n">
        <f aca="false">IF(B148&lt;=0,0,F148-G148)</f>
        <v>0</v>
      </c>
      <c r="I148" s="19" t="n">
        <f aca="false">IF(B148&lt;=0,0,MAX(0,B148-C148-H148))</f>
        <v>0</v>
      </c>
      <c r="J148" s="19" t="n">
        <f aca="false">J147+G148</f>
        <v>1973.65586085751</v>
      </c>
    </row>
    <row r="149" customFormat="false" ht="15" hidden="false" customHeight="false" outlineLevel="0" collapsed="false">
      <c r="A149" s="21" t="n">
        <v>148</v>
      </c>
      <c r="B149" s="22" t="n">
        <f aca="false">MAX(0,I148)</f>
        <v>0</v>
      </c>
      <c r="C149" s="22" t="n">
        <f aca="false">IF(B149&lt;=0,0,IF(A149='Loan Calculator'!B12,MIN('Loan Calculator'!B11,B149),0)+IF(A149='Loan Calculator'!B14,MIN('Loan Calculator'!B13,B149),0))</f>
        <v>0</v>
      </c>
      <c r="D149" s="22" t="n">
        <f aca="false">IF(B149&lt;=0,0,'Loan Calculator'!B4)</f>
        <v>0</v>
      </c>
      <c r="E149" s="22" t="n">
        <f aca="false">IF(B149&lt;=0,0,IF(A149&gt;='Loan Calculator'!B18,'Loan Calculator'!B17,0)+IF(A149&gt;='Loan Calculator'!B20,'Loan Calculator'!B19,0)+IF(A149&gt;='Loan Calculator'!B22,'Loan Calculator'!B21,0))</f>
        <v>0</v>
      </c>
      <c r="F149" s="22" t="n">
        <f aca="false">IF(B149&lt;=0,0,MIN(D149+E149,(B149-C149)*(1+'Loan Calculator'!B7)))</f>
        <v>0</v>
      </c>
      <c r="G149" s="22" t="n">
        <f aca="false">IF(B149&lt;=0,0,MAX(0,(B149-C149)*'Loan Calculator'!B7))</f>
        <v>0</v>
      </c>
      <c r="H149" s="22" t="n">
        <f aca="false">IF(B149&lt;=0,0,F149-G149)</f>
        <v>0</v>
      </c>
      <c r="I149" s="22" t="n">
        <f aca="false">IF(B149&lt;=0,0,MAX(0,B149-C149-H149))</f>
        <v>0</v>
      </c>
      <c r="J149" s="22" t="n">
        <f aca="false">J148+G149</f>
        <v>1973.65586085751</v>
      </c>
    </row>
    <row r="150" customFormat="false" ht="15" hidden="false" customHeight="false" outlineLevel="0" collapsed="false">
      <c r="A150" s="18" t="n">
        <v>149</v>
      </c>
      <c r="B150" s="19" t="n">
        <f aca="false">MAX(0,I149)</f>
        <v>0</v>
      </c>
      <c r="C150" s="19" t="n">
        <f aca="false">IF(B150&lt;=0,0,IF(A150='Loan Calculator'!B12,MIN('Loan Calculator'!B11,B150),0)+IF(A150='Loan Calculator'!B14,MIN('Loan Calculator'!B13,B150),0))</f>
        <v>0</v>
      </c>
      <c r="D150" s="19" t="n">
        <f aca="false">IF(B150&lt;=0,0,'Loan Calculator'!B4)</f>
        <v>0</v>
      </c>
      <c r="E150" s="19" t="n">
        <f aca="false">IF(B150&lt;=0,0,IF(A150&gt;='Loan Calculator'!B18,'Loan Calculator'!B17,0)+IF(A150&gt;='Loan Calculator'!B20,'Loan Calculator'!B19,0)+IF(A150&gt;='Loan Calculator'!B22,'Loan Calculator'!B21,0))</f>
        <v>0</v>
      </c>
      <c r="F150" s="19" t="n">
        <f aca="false">IF(B150&lt;=0,0,MIN(D150+E150,(B150-C150)*(1+'Loan Calculator'!B7)))</f>
        <v>0</v>
      </c>
      <c r="G150" s="19" t="n">
        <f aca="false">IF(B150&lt;=0,0,MAX(0,(B150-C150)*'Loan Calculator'!B7))</f>
        <v>0</v>
      </c>
      <c r="H150" s="19" t="n">
        <f aca="false">IF(B150&lt;=0,0,F150-G150)</f>
        <v>0</v>
      </c>
      <c r="I150" s="19" t="n">
        <f aca="false">IF(B150&lt;=0,0,MAX(0,B150-C150-H150))</f>
        <v>0</v>
      </c>
      <c r="J150" s="19" t="n">
        <f aca="false">J149+G150</f>
        <v>1973.65586085751</v>
      </c>
    </row>
    <row r="151" customFormat="false" ht="15" hidden="false" customHeight="false" outlineLevel="0" collapsed="false">
      <c r="A151" s="21" t="n">
        <v>150</v>
      </c>
      <c r="B151" s="22" t="n">
        <f aca="false">MAX(0,I150)</f>
        <v>0</v>
      </c>
      <c r="C151" s="22" t="n">
        <f aca="false">IF(B151&lt;=0,0,IF(A151='Loan Calculator'!B12,MIN('Loan Calculator'!B11,B151),0)+IF(A151='Loan Calculator'!B14,MIN('Loan Calculator'!B13,B151),0))</f>
        <v>0</v>
      </c>
      <c r="D151" s="22" t="n">
        <f aca="false">IF(B151&lt;=0,0,'Loan Calculator'!B4)</f>
        <v>0</v>
      </c>
      <c r="E151" s="22" t="n">
        <f aca="false">IF(B151&lt;=0,0,IF(A151&gt;='Loan Calculator'!B18,'Loan Calculator'!B17,0)+IF(A151&gt;='Loan Calculator'!B20,'Loan Calculator'!B19,0)+IF(A151&gt;='Loan Calculator'!B22,'Loan Calculator'!B21,0))</f>
        <v>0</v>
      </c>
      <c r="F151" s="22" t="n">
        <f aca="false">IF(B151&lt;=0,0,MIN(D151+E151,(B151-C151)*(1+'Loan Calculator'!B7)))</f>
        <v>0</v>
      </c>
      <c r="G151" s="22" t="n">
        <f aca="false">IF(B151&lt;=0,0,MAX(0,(B151-C151)*'Loan Calculator'!B7))</f>
        <v>0</v>
      </c>
      <c r="H151" s="22" t="n">
        <f aca="false">IF(B151&lt;=0,0,F151-G151)</f>
        <v>0</v>
      </c>
      <c r="I151" s="22" t="n">
        <f aca="false">IF(B151&lt;=0,0,MAX(0,B151-C151-H151))</f>
        <v>0</v>
      </c>
      <c r="J151" s="22" t="n">
        <f aca="false">J150+G151</f>
        <v>1973.65586085751</v>
      </c>
    </row>
    <row r="152" customFormat="false" ht="15" hidden="false" customHeight="false" outlineLevel="0" collapsed="false">
      <c r="A152" s="18" t="n">
        <v>151</v>
      </c>
      <c r="B152" s="19" t="n">
        <f aca="false">MAX(0,I151)</f>
        <v>0</v>
      </c>
      <c r="C152" s="19" t="n">
        <f aca="false">IF(B152&lt;=0,0,IF(A152='Loan Calculator'!B12,MIN('Loan Calculator'!B11,B152),0)+IF(A152='Loan Calculator'!B14,MIN('Loan Calculator'!B13,B152),0))</f>
        <v>0</v>
      </c>
      <c r="D152" s="19" t="n">
        <f aca="false">IF(B152&lt;=0,0,'Loan Calculator'!B4)</f>
        <v>0</v>
      </c>
      <c r="E152" s="19" t="n">
        <f aca="false">IF(B152&lt;=0,0,IF(A152&gt;='Loan Calculator'!B18,'Loan Calculator'!B17,0)+IF(A152&gt;='Loan Calculator'!B20,'Loan Calculator'!B19,0)+IF(A152&gt;='Loan Calculator'!B22,'Loan Calculator'!B21,0))</f>
        <v>0</v>
      </c>
      <c r="F152" s="19" t="n">
        <f aca="false">IF(B152&lt;=0,0,MIN(D152+E152,(B152-C152)*(1+'Loan Calculator'!B7)))</f>
        <v>0</v>
      </c>
      <c r="G152" s="19" t="n">
        <f aca="false">IF(B152&lt;=0,0,MAX(0,(B152-C152)*'Loan Calculator'!B7))</f>
        <v>0</v>
      </c>
      <c r="H152" s="19" t="n">
        <f aca="false">IF(B152&lt;=0,0,F152-G152)</f>
        <v>0</v>
      </c>
      <c r="I152" s="19" t="n">
        <f aca="false">IF(B152&lt;=0,0,MAX(0,B152-C152-H152))</f>
        <v>0</v>
      </c>
      <c r="J152" s="19" t="n">
        <f aca="false">J151+G152</f>
        <v>1973.65586085751</v>
      </c>
    </row>
    <row r="153" customFormat="false" ht="15" hidden="false" customHeight="false" outlineLevel="0" collapsed="false">
      <c r="A153" s="21" t="n">
        <v>152</v>
      </c>
      <c r="B153" s="22" t="n">
        <f aca="false">MAX(0,I152)</f>
        <v>0</v>
      </c>
      <c r="C153" s="22" t="n">
        <f aca="false">IF(B153&lt;=0,0,IF(A153='Loan Calculator'!B12,MIN('Loan Calculator'!B11,B153),0)+IF(A153='Loan Calculator'!B14,MIN('Loan Calculator'!B13,B153),0))</f>
        <v>0</v>
      </c>
      <c r="D153" s="22" t="n">
        <f aca="false">IF(B153&lt;=0,0,'Loan Calculator'!B4)</f>
        <v>0</v>
      </c>
      <c r="E153" s="22" t="n">
        <f aca="false">IF(B153&lt;=0,0,IF(A153&gt;='Loan Calculator'!B18,'Loan Calculator'!B17,0)+IF(A153&gt;='Loan Calculator'!B20,'Loan Calculator'!B19,0)+IF(A153&gt;='Loan Calculator'!B22,'Loan Calculator'!B21,0))</f>
        <v>0</v>
      </c>
      <c r="F153" s="22" t="n">
        <f aca="false">IF(B153&lt;=0,0,MIN(D153+E153,(B153-C153)*(1+'Loan Calculator'!B7)))</f>
        <v>0</v>
      </c>
      <c r="G153" s="22" t="n">
        <f aca="false">IF(B153&lt;=0,0,MAX(0,(B153-C153)*'Loan Calculator'!B7))</f>
        <v>0</v>
      </c>
      <c r="H153" s="22" t="n">
        <f aca="false">IF(B153&lt;=0,0,F153-G153)</f>
        <v>0</v>
      </c>
      <c r="I153" s="22" t="n">
        <f aca="false">IF(B153&lt;=0,0,MAX(0,B153-C153-H153))</f>
        <v>0</v>
      </c>
      <c r="J153" s="22" t="n">
        <f aca="false">J152+G153</f>
        <v>1973.65586085751</v>
      </c>
    </row>
    <row r="154" customFormat="false" ht="15" hidden="false" customHeight="false" outlineLevel="0" collapsed="false">
      <c r="A154" s="18" t="n">
        <v>153</v>
      </c>
      <c r="B154" s="19" t="n">
        <f aca="false">MAX(0,I153)</f>
        <v>0</v>
      </c>
      <c r="C154" s="19" t="n">
        <f aca="false">IF(B154&lt;=0,0,IF(A154='Loan Calculator'!B12,MIN('Loan Calculator'!B11,B154),0)+IF(A154='Loan Calculator'!B14,MIN('Loan Calculator'!B13,B154),0))</f>
        <v>0</v>
      </c>
      <c r="D154" s="19" t="n">
        <f aca="false">IF(B154&lt;=0,0,'Loan Calculator'!B4)</f>
        <v>0</v>
      </c>
      <c r="E154" s="19" t="n">
        <f aca="false">IF(B154&lt;=0,0,IF(A154&gt;='Loan Calculator'!B18,'Loan Calculator'!B17,0)+IF(A154&gt;='Loan Calculator'!B20,'Loan Calculator'!B19,0)+IF(A154&gt;='Loan Calculator'!B22,'Loan Calculator'!B21,0))</f>
        <v>0</v>
      </c>
      <c r="F154" s="19" t="n">
        <f aca="false">IF(B154&lt;=0,0,MIN(D154+E154,(B154-C154)*(1+'Loan Calculator'!B7)))</f>
        <v>0</v>
      </c>
      <c r="G154" s="19" t="n">
        <f aca="false">IF(B154&lt;=0,0,MAX(0,(B154-C154)*'Loan Calculator'!B7))</f>
        <v>0</v>
      </c>
      <c r="H154" s="19" t="n">
        <f aca="false">IF(B154&lt;=0,0,F154-G154)</f>
        <v>0</v>
      </c>
      <c r="I154" s="19" t="n">
        <f aca="false">IF(B154&lt;=0,0,MAX(0,B154-C154-H154))</f>
        <v>0</v>
      </c>
      <c r="J154" s="19" t="n">
        <f aca="false">J153+G154</f>
        <v>1973.65586085751</v>
      </c>
    </row>
    <row r="155" customFormat="false" ht="15" hidden="false" customHeight="false" outlineLevel="0" collapsed="false">
      <c r="A155" s="21" t="n">
        <v>154</v>
      </c>
      <c r="B155" s="22" t="n">
        <f aca="false">MAX(0,I154)</f>
        <v>0</v>
      </c>
      <c r="C155" s="22" t="n">
        <f aca="false">IF(B155&lt;=0,0,IF(A155='Loan Calculator'!B12,MIN('Loan Calculator'!B11,B155),0)+IF(A155='Loan Calculator'!B14,MIN('Loan Calculator'!B13,B155),0))</f>
        <v>0</v>
      </c>
      <c r="D155" s="22" t="n">
        <f aca="false">IF(B155&lt;=0,0,'Loan Calculator'!B4)</f>
        <v>0</v>
      </c>
      <c r="E155" s="22" t="n">
        <f aca="false">IF(B155&lt;=0,0,IF(A155&gt;='Loan Calculator'!B18,'Loan Calculator'!B17,0)+IF(A155&gt;='Loan Calculator'!B20,'Loan Calculator'!B19,0)+IF(A155&gt;='Loan Calculator'!B22,'Loan Calculator'!B21,0))</f>
        <v>0</v>
      </c>
      <c r="F155" s="22" t="n">
        <f aca="false">IF(B155&lt;=0,0,MIN(D155+E155,(B155-C155)*(1+'Loan Calculator'!B7)))</f>
        <v>0</v>
      </c>
      <c r="G155" s="22" t="n">
        <f aca="false">IF(B155&lt;=0,0,MAX(0,(B155-C155)*'Loan Calculator'!B7))</f>
        <v>0</v>
      </c>
      <c r="H155" s="22" t="n">
        <f aca="false">IF(B155&lt;=0,0,F155-G155)</f>
        <v>0</v>
      </c>
      <c r="I155" s="22" t="n">
        <f aca="false">IF(B155&lt;=0,0,MAX(0,B155-C155-H155))</f>
        <v>0</v>
      </c>
      <c r="J155" s="22" t="n">
        <f aca="false">J154+G155</f>
        <v>1973.65586085751</v>
      </c>
    </row>
    <row r="156" customFormat="false" ht="15" hidden="false" customHeight="false" outlineLevel="0" collapsed="false">
      <c r="A156" s="18" t="n">
        <v>155</v>
      </c>
      <c r="B156" s="19" t="n">
        <f aca="false">MAX(0,I155)</f>
        <v>0</v>
      </c>
      <c r="C156" s="19" t="n">
        <f aca="false">IF(B156&lt;=0,0,IF(A156='Loan Calculator'!B12,MIN('Loan Calculator'!B11,B156),0)+IF(A156='Loan Calculator'!B14,MIN('Loan Calculator'!B13,B156),0))</f>
        <v>0</v>
      </c>
      <c r="D156" s="19" t="n">
        <f aca="false">IF(B156&lt;=0,0,'Loan Calculator'!B4)</f>
        <v>0</v>
      </c>
      <c r="E156" s="19" t="n">
        <f aca="false">IF(B156&lt;=0,0,IF(A156&gt;='Loan Calculator'!B18,'Loan Calculator'!B17,0)+IF(A156&gt;='Loan Calculator'!B20,'Loan Calculator'!B19,0)+IF(A156&gt;='Loan Calculator'!B22,'Loan Calculator'!B21,0))</f>
        <v>0</v>
      </c>
      <c r="F156" s="19" t="n">
        <f aca="false">IF(B156&lt;=0,0,MIN(D156+E156,(B156-C156)*(1+'Loan Calculator'!B7)))</f>
        <v>0</v>
      </c>
      <c r="G156" s="19" t="n">
        <f aca="false">IF(B156&lt;=0,0,MAX(0,(B156-C156)*'Loan Calculator'!B7))</f>
        <v>0</v>
      </c>
      <c r="H156" s="19" t="n">
        <f aca="false">IF(B156&lt;=0,0,F156-G156)</f>
        <v>0</v>
      </c>
      <c r="I156" s="19" t="n">
        <f aca="false">IF(B156&lt;=0,0,MAX(0,B156-C156-H156))</f>
        <v>0</v>
      </c>
      <c r="J156" s="19" t="n">
        <f aca="false">J155+G156</f>
        <v>1973.65586085751</v>
      </c>
    </row>
    <row r="157" customFormat="false" ht="15" hidden="false" customHeight="false" outlineLevel="0" collapsed="false">
      <c r="A157" s="21" t="n">
        <v>156</v>
      </c>
      <c r="B157" s="22" t="n">
        <f aca="false">MAX(0,I156)</f>
        <v>0</v>
      </c>
      <c r="C157" s="22" t="n">
        <f aca="false">IF(B157&lt;=0,0,IF(A157='Loan Calculator'!B12,MIN('Loan Calculator'!B11,B157),0)+IF(A157='Loan Calculator'!B14,MIN('Loan Calculator'!B13,B157),0))</f>
        <v>0</v>
      </c>
      <c r="D157" s="22" t="n">
        <f aca="false">IF(B157&lt;=0,0,'Loan Calculator'!B4)</f>
        <v>0</v>
      </c>
      <c r="E157" s="22" t="n">
        <f aca="false">IF(B157&lt;=0,0,IF(A157&gt;='Loan Calculator'!B18,'Loan Calculator'!B17,0)+IF(A157&gt;='Loan Calculator'!B20,'Loan Calculator'!B19,0)+IF(A157&gt;='Loan Calculator'!B22,'Loan Calculator'!B21,0))</f>
        <v>0</v>
      </c>
      <c r="F157" s="22" t="n">
        <f aca="false">IF(B157&lt;=0,0,MIN(D157+E157,(B157-C157)*(1+'Loan Calculator'!B7)))</f>
        <v>0</v>
      </c>
      <c r="G157" s="22" t="n">
        <f aca="false">IF(B157&lt;=0,0,MAX(0,(B157-C157)*'Loan Calculator'!B7))</f>
        <v>0</v>
      </c>
      <c r="H157" s="22" t="n">
        <f aca="false">IF(B157&lt;=0,0,F157-G157)</f>
        <v>0</v>
      </c>
      <c r="I157" s="22" t="n">
        <f aca="false">IF(B157&lt;=0,0,MAX(0,B157-C157-H157))</f>
        <v>0</v>
      </c>
      <c r="J157" s="22" t="n">
        <f aca="false">J156+G157</f>
        <v>1973.65586085751</v>
      </c>
    </row>
    <row r="158" customFormat="false" ht="15" hidden="false" customHeight="false" outlineLevel="0" collapsed="false">
      <c r="A158" s="18" t="n">
        <v>157</v>
      </c>
      <c r="B158" s="19" t="n">
        <f aca="false">MAX(0,I157)</f>
        <v>0</v>
      </c>
      <c r="C158" s="19" t="n">
        <f aca="false">IF(B158&lt;=0,0,IF(A158='Loan Calculator'!B12,MIN('Loan Calculator'!B11,B158),0)+IF(A158='Loan Calculator'!B14,MIN('Loan Calculator'!B13,B158),0))</f>
        <v>0</v>
      </c>
      <c r="D158" s="19" t="n">
        <f aca="false">IF(B158&lt;=0,0,'Loan Calculator'!B4)</f>
        <v>0</v>
      </c>
      <c r="E158" s="19" t="n">
        <f aca="false">IF(B158&lt;=0,0,IF(A158&gt;='Loan Calculator'!B18,'Loan Calculator'!B17,0)+IF(A158&gt;='Loan Calculator'!B20,'Loan Calculator'!B19,0)+IF(A158&gt;='Loan Calculator'!B22,'Loan Calculator'!B21,0))</f>
        <v>0</v>
      </c>
      <c r="F158" s="19" t="n">
        <f aca="false">IF(B158&lt;=0,0,MIN(D158+E158,(B158-C158)*(1+'Loan Calculator'!B7)))</f>
        <v>0</v>
      </c>
      <c r="G158" s="19" t="n">
        <f aca="false">IF(B158&lt;=0,0,MAX(0,(B158-C158)*'Loan Calculator'!B7))</f>
        <v>0</v>
      </c>
      <c r="H158" s="19" t="n">
        <f aca="false">IF(B158&lt;=0,0,F158-G158)</f>
        <v>0</v>
      </c>
      <c r="I158" s="19" t="n">
        <f aca="false">IF(B158&lt;=0,0,MAX(0,B158-C158-H158))</f>
        <v>0</v>
      </c>
      <c r="J158" s="19" t="n">
        <f aca="false">J157+G158</f>
        <v>1973.65586085751</v>
      </c>
    </row>
    <row r="159" customFormat="false" ht="15" hidden="false" customHeight="false" outlineLevel="0" collapsed="false">
      <c r="A159" s="21" t="n">
        <v>158</v>
      </c>
      <c r="B159" s="22" t="n">
        <f aca="false">MAX(0,I158)</f>
        <v>0</v>
      </c>
      <c r="C159" s="22" t="n">
        <f aca="false">IF(B159&lt;=0,0,IF(A159='Loan Calculator'!B12,MIN('Loan Calculator'!B11,B159),0)+IF(A159='Loan Calculator'!B14,MIN('Loan Calculator'!B13,B159),0))</f>
        <v>0</v>
      </c>
      <c r="D159" s="22" t="n">
        <f aca="false">IF(B159&lt;=0,0,'Loan Calculator'!B4)</f>
        <v>0</v>
      </c>
      <c r="E159" s="22" t="n">
        <f aca="false">IF(B159&lt;=0,0,IF(A159&gt;='Loan Calculator'!B18,'Loan Calculator'!B17,0)+IF(A159&gt;='Loan Calculator'!B20,'Loan Calculator'!B19,0)+IF(A159&gt;='Loan Calculator'!B22,'Loan Calculator'!B21,0))</f>
        <v>0</v>
      </c>
      <c r="F159" s="22" t="n">
        <f aca="false">IF(B159&lt;=0,0,MIN(D159+E159,(B159-C159)*(1+'Loan Calculator'!B7)))</f>
        <v>0</v>
      </c>
      <c r="G159" s="22" t="n">
        <f aca="false">IF(B159&lt;=0,0,MAX(0,(B159-C159)*'Loan Calculator'!B7))</f>
        <v>0</v>
      </c>
      <c r="H159" s="22" t="n">
        <f aca="false">IF(B159&lt;=0,0,F159-G159)</f>
        <v>0</v>
      </c>
      <c r="I159" s="22" t="n">
        <f aca="false">IF(B159&lt;=0,0,MAX(0,B159-C159-H159))</f>
        <v>0</v>
      </c>
      <c r="J159" s="22" t="n">
        <f aca="false">J158+G159</f>
        <v>1973.65586085751</v>
      </c>
    </row>
    <row r="160" customFormat="false" ht="15" hidden="false" customHeight="false" outlineLevel="0" collapsed="false">
      <c r="A160" s="18" t="n">
        <v>159</v>
      </c>
      <c r="B160" s="19" t="n">
        <f aca="false">MAX(0,I159)</f>
        <v>0</v>
      </c>
      <c r="C160" s="19" t="n">
        <f aca="false">IF(B160&lt;=0,0,IF(A160='Loan Calculator'!B12,MIN('Loan Calculator'!B11,B160),0)+IF(A160='Loan Calculator'!B14,MIN('Loan Calculator'!B13,B160),0))</f>
        <v>0</v>
      </c>
      <c r="D160" s="19" t="n">
        <f aca="false">IF(B160&lt;=0,0,'Loan Calculator'!B4)</f>
        <v>0</v>
      </c>
      <c r="E160" s="19" t="n">
        <f aca="false">IF(B160&lt;=0,0,IF(A160&gt;='Loan Calculator'!B18,'Loan Calculator'!B17,0)+IF(A160&gt;='Loan Calculator'!B20,'Loan Calculator'!B19,0)+IF(A160&gt;='Loan Calculator'!B22,'Loan Calculator'!B21,0))</f>
        <v>0</v>
      </c>
      <c r="F160" s="19" t="n">
        <f aca="false">IF(B160&lt;=0,0,MIN(D160+E160,(B160-C160)*(1+'Loan Calculator'!B7)))</f>
        <v>0</v>
      </c>
      <c r="G160" s="19" t="n">
        <f aca="false">IF(B160&lt;=0,0,MAX(0,(B160-C160)*'Loan Calculator'!B7))</f>
        <v>0</v>
      </c>
      <c r="H160" s="19" t="n">
        <f aca="false">IF(B160&lt;=0,0,F160-G160)</f>
        <v>0</v>
      </c>
      <c r="I160" s="19" t="n">
        <f aca="false">IF(B160&lt;=0,0,MAX(0,B160-C160-H160))</f>
        <v>0</v>
      </c>
      <c r="J160" s="19" t="n">
        <f aca="false">J159+G160</f>
        <v>1973.65586085751</v>
      </c>
    </row>
    <row r="161" customFormat="false" ht="15" hidden="false" customHeight="false" outlineLevel="0" collapsed="false">
      <c r="A161" s="21" t="n">
        <v>160</v>
      </c>
      <c r="B161" s="22" t="n">
        <f aca="false">MAX(0,I160)</f>
        <v>0</v>
      </c>
      <c r="C161" s="22" t="n">
        <f aca="false">IF(B161&lt;=0,0,IF(A161='Loan Calculator'!B12,MIN('Loan Calculator'!B11,B161),0)+IF(A161='Loan Calculator'!B14,MIN('Loan Calculator'!B13,B161),0))</f>
        <v>0</v>
      </c>
      <c r="D161" s="22" t="n">
        <f aca="false">IF(B161&lt;=0,0,'Loan Calculator'!B4)</f>
        <v>0</v>
      </c>
      <c r="E161" s="22" t="n">
        <f aca="false">IF(B161&lt;=0,0,IF(A161&gt;='Loan Calculator'!B18,'Loan Calculator'!B17,0)+IF(A161&gt;='Loan Calculator'!B20,'Loan Calculator'!B19,0)+IF(A161&gt;='Loan Calculator'!B22,'Loan Calculator'!B21,0))</f>
        <v>0</v>
      </c>
      <c r="F161" s="22" t="n">
        <f aca="false">IF(B161&lt;=0,0,MIN(D161+E161,(B161-C161)*(1+'Loan Calculator'!B7)))</f>
        <v>0</v>
      </c>
      <c r="G161" s="22" t="n">
        <f aca="false">IF(B161&lt;=0,0,MAX(0,(B161-C161)*'Loan Calculator'!B7))</f>
        <v>0</v>
      </c>
      <c r="H161" s="22" t="n">
        <f aca="false">IF(B161&lt;=0,0,F161-G161)</f>
        <v>0</v>
      </c>
      <c r="I161" s="22" t="n">
        <f aca="false">IF(B161&lt;=0,0,MAX(0,B161-C161-H161))</f>
        <v>0</v>
      </c>
      <c r="J161" s="22" t="n">
        <f aca="false">J160+G161</f>
        <v>1973.65586085751</v>
      </c>
    </row>
    <row r="162" customFormat="false" ht="15" hidden="false" customHeight="false" outlineLevel="0" collapsed="false">
      <c r="A162" s="18" t="n">
        <v>161</v>
      </c>
      <c r="B162" s="19" t="n">
        <f aca="false">MAX(0,I161)</f>
        <v>0</v>
      </c>
      <c r="C162" s="19" t="n">
        <f aca="false">IF(B162&lt;=0,0,IF(A162='Loan Calculator'!B12,MIN('Loan Calculator'!B11,B162),0)+IF(A162='Loan Calculator'!B14,MIN('Loan Calculator'!B13,B162),0))</f>
        <v>0</v>
      </c>
      <c r="D162" s="19" t="n">
        <f aca="false">IF(B162&lt;=0,0,'Loan Calculator'!B4)</f>
        <v>0</v>
      </c>
      <c r="E162" s="19" t="n">
        <f aca="false">IF(B162&lt;=0,0,IF(A162&gt;='Loan Calculator'!B18,'Loan Calculator'!B17,0)+IF(A162&gt;='Loan Calculator'!B20,'Loan Calculator'!B19,0)+IF(A162&gt;='Loan Calculator'!B22,'Loan Calculator'!B21,0))</f>
        <v>0</v>
      </c>
      <c r="F162" s="19" t="n">
        <f aca="false">IF(B162&lt;=0,0,MIN(D162+E162,(B162-C162)*(1+'Loan Calculator'!B7)))</f>
        <v>0</v>
      </c>
      <c r="G162" s="19" t="n">
        <f aca="false">IF(B162&lt;=0,0,MAX(0,(B162-C162)*'Loan Calculator'!B7))</f>
        <v>0</v>
      </c>
      <c r="H162" s="19" t="n">
        <f aca="false">IF(B162&lt;=0,0,F162-G162)</f>
        <v>0</v>
      </c>
      <c r="I162" s="19" t="n">
        <f aca="false">IF(B162&lt;=0,0,MAX(0,B162-C162-H162))</f>
        <v>0</v>
      </c>
      <c r="J162" s="19" t="n">
        <f aca="false">J161+G162</f>
        <v>1973.65586085751</v>
      </c>
    </row>
    <row r="163" customFormat="false" ht="15" hidden="false" customHeight="false" outlineLevel="0" collapsed="false">
      <c r="A163" s="21" t="n">
        <v>162</v>
      </c>
      <c r="B163" s="22" t="n">
        <f aca="false">MAX(0,I162)</f>
        <v>0</v>
      </c>
      <c r="C163" s="22" t="n">
        <f aca="false">IF(B163&lt;=0,0,IF(A163='Loan Calculator'!B12,MIN('Loan Calculator'!B11,B163),0)+IF(A163='Loan Calculator'!B14,MIN('Loan Calculator'!B13,B163),0))</f>
        <v>0</v>
      </c>
      <c r="D163" s="22" t="n">
        <f aca="false">IF(B163&lt;=0,0,'Loan Calculator'!B4)</f>
        <v>0</v>
      </c>
      <c r="E163" s="22" t="n">
        <f aca="false">IF(B163&lt;=0,0,IF(A163&gt;='Loan Calculator'!B18,'Loan Calculator'!B17,0)+IF(A163&gt;='Loan Calculator'!B20,'Loan Calculator'!B19,0)+IF(A163&gt;='Loan Calculator'!B22,'Loan Calculator'!B21,0))</f>
        <v>0</v>
      </c>
      <c r="F163" s="22" t="n">
        <f aca="false">IF(B163&lt;=0,0,MIN(D163+E163,(B163-C163)*(1+'Loan Calculator'!B7)))</f>
        <v>0</v>
      </c>
      <c r="G163" s="22" t="n">
        <f aca="false">IF(B163&lt;=0,0,MAX(0,(B163-C163)*'Loan Calculator'!B7))</f>
        <v>0</v>
      </c>
      <c r="H163" s="22" t="n">
        <f aca="false">IF(B163&lt;=0,0,F163-G163)</f>
        <v>0</v>
      </c>
      <c r="I163" s="22" t="n">
        <f aca="false">IF(B163&lt;=0,0,MAX(0,B163-C163-H163))</f>
        <v>0</v>
      </c>
      <c r="J163" s="22" t="n">
        <f aca="false">J162+G163</f>
        <v>1973.65586085751</v>
      </c>
    </row>
    <row r="164" customFormat="false" ht="15" hidden="false" customHeight="false" outlineLevel="0" collapsed="false">
      <c r="A164" s="18" t="n">
        <v>163</v>
      </c>
      <c r="B164" s="19" t="n">
        <f aca="false">MAX(0,I163)</f>
        <v>0</v>
      </c>
      <c r="C164" s="19" t="n">
        <f aca="false">IF(B164&lt;=0,0,IF(A164='Loan Calculator'!B12,MIN('Loan Calculator'!B11,B164),0)+IF(A164='Loan Calculator'!B14,MIN('Loan Calculator'!B13,B164),0))</f>
        <v>0</v>
      </c>
      <c r="D164" s="19" t="n">
        <f aca="false">IF(B164&lt;=0,0,'Loan Calculator'!B4)</f>
        <v>0</v>
      </c>
      <c r="E164" s="19" t="n">
        <f aca="false">IF(B164&lt;=0,0,IF(A164&gt;='Loan Calculator'!B18,'Loan Calculator'!B17,0)+IF(A164&gt;='Loan Calculator'!B20,'Loan Calculator'!B19,0)+IF(A164&gt;='Loan Calculator'!B22,'Loan Calculator'!B21,0))</f>
        <v>0</v>
      </c>
      <c r="F164" s="19" t="n">
        <f aca="false">IF(B164&lt;=0,0,MIN(D164+E164,(B164-C164)*(1+'Loan Calculator'!B7)))</f>
        <v>0</v>
      </c>
      <c r="G164" s="19" t="n">
        <f aca="false">IF(B164&lt;=0,0,MAX(0,(B164-C164)*'Loan Calculator'!B7))</f>
        <v>0</v>
      </c>
      <c r="H164" s="19" t="n">
        <f aca="false">IF(B164&lt;=0,0,F164-G164)</f>
        <v>0</v>
      </c>
      <c r="I164" s="19" t="n">
        <f aca="false">IF(B164&lt;=0,0,MAX(0,B164-C164-H164))</f>
        <v>0</v>
      </c>
      <c r="J164" s="19" t="n">
        <f aca="false">J163+G164</f>
        <v>1973.65586085751</v>
      </c>
    </row>
    <row r="165" customFormat="false" ht="15" hidden="false" customHeight="false" outlineLevel="0" collapsed="false">
      <c r="A165" s="21" t="n">
        <v>164</v>
      </c>
      <c r="B165" s="22" t="n">
        <f aca="false">MAX(0,I164)</f>
        <v>0</v>
      </c>
      <c r="C165" s="22" t="n">
        <f aca="false">IF(B165&lt;=0,0,IF(A165='Loan Calculator'!B12,MIN('Loan Calculator'!B11,B165),0)+IF(A165='Loan Calculator'!B14,MIN('Loan Calculator'!B13,B165),0))</f>
        <v>0</v>
      </c>
      <c r="D165" s="22" t="n">
        <f aca="false">IF(B165&lt;=0,0,'Loan Calculator'!B4)</f>
        <v>0</v>
      </c>
      <c r="E165" s="22" t="n">
        <f aca="false">IF(B165&lt;=0,0,IF(A165&gt;='Loan Calculator'!B18,'Loan Calculator'!B17,0)+IF(A165&gt;='Loan Calculator'!B20,'Loan Calculator'!B19,0)+IF(A165&gt;='Loan Calculator'!B22,'Loan Calculator'!B21,0))</f>
        <v>0</v>
      </c>
      <c r="F165" s="22" t="n">
        <f aca="false">IF(B165&lt;=0,0,MIN(D165+E165,(B165-C165)*(1+'Loan Calculator'!B7)))</f>
        <v>0</v>
      </c>
      <c r="G165" s="22" t="n">
        <f aca="false">IF(B165&lt;=0,0,MAX(0,(B165-C165)*'Loan Calculator'!B7))</f>
        <v>0</v>
      </c>
      <c r="H165" s="22" t="n">
        <f aca="false">IF(B165&lt;=0,0,F165-G165)</f>
        <v>0</v>
      </c>
      <c r="I165" s="22" t="n">
        <f aca="false">IF(B165&lt;=0,0,MAX(0,B165-C165-H165))</f>
        <v>0</v>
      </c>
      <c r="J165" s="22" t="n">
        <f aca="false">J164+G165</f>
        <v>1973.65586085751</v>
      </c>
    </row>
    <row r="166" customFormat="false" ht="15" hidden="false" customHeight="false" outlineLevel="0" collapsed="false">
      <c r="A166" s="18" t="n">
        <v>165</v>
      </c>
      <c r="B166" s="19" t="n">
        <f aca="false">MAX(0,I165)</f>
        <v>0</v>
      </c>
      <c r="C166" s="19" t="n">
        <f aca="false">IF(B166&lt;=0,0,IF(A166='Loan Calculator'!B12,MIN('Loan Calculator'!B11,B166),0)+IF(A166='Loan Calculator'!B14,MIN('Loan Calculator'!B13,B166),0))</f>
        <v>0</v>
      </c>
      <c r="D166" s="19" t="n">
        <f aca="false">IF(B166&lt;=0,0,'Loan Calculator'!B4)</f>
        <v>0</v>
      </c>
      <c r="E166" s="19" t="n">
        <f aca="false">IF(B166&lt;=0,0,IF(A166&gt;='Loan Calculator'!B18,'Loan Calculator'!B17,0)+IF(A166&gt;='Loan Calculator'!B20,'Loan Calculator'!B19,0)+IF(A166&gt;='Loan Calculator'!B22,'Loan Calculator'!B21,0))</f>
        <v>0</v>
      </c>
      <c r="F166" s="19" t="n">
        <f aca="false">IF(B166&lt;=0,0,MIN(D166+E166,(B166-C166)*(1+'Loan Calculator'!B7)))</f>
        <v>0</v>
      </c>
      <c r="G166" s="19" t="n">
        <f aca="false">IF(B166&lt;=0,0,MAX(0,(B166-C166)*'Loan Calculator'!B7))</f>
        <v>0</v>
      </c>
      <c r="H166" s="19" t="n">
        <f aca="false">IF(B166&lt;=0,0,F166-G166)</f>
        <v>0</v>
      </c>
      <c r="I166" s="19" t="n">
        <f aca="false">IF(B166&lt;=0,0,MAX(0,B166-C166-H166))</f>
        <v>0</v>
      </c>
      <c r="J166" s="19" t="n">
        <f aca="false">J165+G166</f>
        <v>1973.65586085751</v>
      </c>
    </row>
    <row r="167" customFormat="false" ht="15" hidden="false" customHeight="false" outlineLevel="0" collapsed="false">
      <c r="A167" s="21" t="n">
        <v>166</v>
      </c>
      <c r="B167" s="22" t="n">
        <f aca="false">MAX(0,I166)</f>
        <v>0</v>
      </c>
      <c r="C167" s="22" t="n">
        <f aca="false">IF(B167&lt;=0,0,IF(A167='Loan Calculator'!B12,MIN('Loan Calculator'!B11,B167),0)+IF(A167='Loan Calculator'!B14,MIN('Loan Calculator'!B13,B167),0))</f>
        <v>0</v>
      </c>
      <c r="D167" s="22" t="n">
        <f aca="false">IF(B167&lt;=0,0,'Loan Calculator'!B4)</f>
        <v>0</v>
      </c>
      <c r="E167" s="22" t="n">
        <f aca="false">IF(B167&lt;=0,0,IF(A167&gt;='Loan Calculator'!B18,'Loan Calculator'!B17,0)+IF(A167&gt;='Loan Calculator'!B20,'Loan Calculator'!B19,0)+IF(A167&gt;='Loan Calculator'!B22,'Loan Calculator'!B21,0))</f>
        <v>0</v>
      </c>
      <c r="F167" s="22" t="n">
        <f aca="false">IF(B167&lt;=0,0,MIN(D167+E167,(B167-C167)*(1+'Loan Calculator'!B7)))</f>
        <v>0</v>
      </c>
      <c r="G167" s="22" t="n">
        <f aca="false">IF(B167&lt;=0,0,MAX(0,(B167-C167)*'Loan Calculator'!B7))</f>
        <v>0</v>
      </c>
      <c r="H167" s="22" t="n">
        <f aca="false">IF(B167&lt;=0,0,F167-G167)</f>
        <v>0</v>
      </c>
      <c r="I167" s="22" t="n">
        <f aca="false">IF(B167&lt;=0,0,MAX(0,B167-C167-H167))</f>
        <v>0</v>
      </c>
      <c r="J167" s="22" t="n">
        <f aca="false">J166+G167</f>
        <v>1973.65586085751</v>
      </c>
    </row>
    <row r="168" customFormat="false" ht="15" hidden="false" customHeight="false" outlineLevel="0" collapsed="false">
      <c r="A168" s="18" t="n">
        <v>167</v>
      </c>
      <c r="B168" s="19" t="n">
        <f aca="false">MAX(0,I167)</f>
        <v>0</v>
      </c>
      <c r="C168" s="19" t="n">
        <f aca="false">IF(B168&lt;=0,0,IF(A168='Loan Calculator'!B12,MIN('Loan Calculator'!B11,B168),0)+IF(A168='Loan Calculator'!B14,MIN('Loan Calculator'!B13,B168),0))</f>
        <v>0</v>
      </c>
      <c r="D168" s="19" t="n">
        <f aca="false">IF(B168&lt;=0,0,'Loan Calculator'!B4)</f>
        <v>0</v>
      </c>
      <c r="E168" s="19" t="n">
        <f aca="false">IF(B168&lt;=0,0,IF(A168&gt;='Loan Calculator'!B18,'Loan Calculator'!B17,0)+IF(A168&gt;='Loan Calculator'!B20,'Loan Calculator'!B19,0)+IF(A168&gt;='Loan Calculator'!B22,'Loan Calculator'!B21,0))</f>
        <v>0</v>
      </c>
      <c r="F168" s="19" t="n">
        <f aca="false">IF(B168&lt;=0,0,MIN(D168+E168,(B168-C168)*(1+'Loan Calculator'!B7)))</f>
        <v>0</v>
      </c>
      <c r="G168" s="19" t="n">
        <f aca="false">IF(B168&lt;=0,0,MAX(0,(B168-C168)*'Loan Calculator'!B7))</f>
        <v>0</v>
      </c>
      <c r="H168" s="19" t="n">
        <f aca="false">IF(B168&lt;=0,0,F168-G168)</f>
        <v>0</v>
      </c>
      <c r="I168" s="19" t="n">
        <f aca="false">IF(B168&lt;=0,0,MAX(0,B168-C168-H168))</f>
        <v>0</v>
      </c>
      <c r="J168" s="19" t="n">
        <f aca="false">J167+G168</f>
        <v>1973.65586085751</v>
      </c>
    </row>
    <row r="169" customFormat="false" ht="15" hidden="false" customHeight="false" outlineLevel="0" collapsed="false">
      <c r="A169" s="21" t="n">
        <v>168</v>
      </c>
      <c r="B169" s="22" t="n">
        <f aca="false">MAX(0,I168)</f>
        <v>0</v>
      </c>
      <c r="C169" s="22" t="n">
        <f aca="false">IF(B169&lt;=0,0,IF(A169='Loan Calculator'!B12,MIN('Loan Calculator'!B11,B169),0)+IF(A169='Loan Calculator'!B14,MIN('Loan Calculator'!B13,B169),0))</f>
        <v>0</v>
      </c>
      <c r="D169" s="22" t="n">
        <f aca="false">IF(B169&lt;=0,0,'Loan Calculator'!B4)</f>
        <v>0</v>
      </c>
      <c r="E169" s="22" t="n">
        <f aca="false">IF(B169&lt;=0,0,IF(A169&gt;='Loan Calculator'!B18,'Loan Calculator'!B17,0)+IF(A169&gt;='Loan Calculator'!B20,'Loan Calculator'!B19,0)+IF(A169&gt;='Loan Calculator'!B22,'Loan Calculator'!B21,0))</f>
        <v>0</v>
      </c>
      <c r="F169" s="22" t="n">
        <f aca="false">IF(B169&lt;=0,0,MIN(D169+E169,(B169-C169)*(1+'Loan Calculator'!B7)))</f>
        <v>0</v>
      </c>
      <c r="G169" s="22" t="n">
        <f aca="false">IF(B169&lt;=0,0,MAX(0,(B169-C169)*'Loan Calculator'!B7))</f>
        <v>0</v>
      </c>
      <c r="H169" s="22" t="n">
        <f aca="false">IF(B169&lt;=0,0,F169-G169)</f>
        <v>0</v>
      </c>
      <c r="I169" s="22" t="n">
        <f aca="false">IF(B169&lt;=0,0,MAX(0,B169-C169-H169))</f>
        <v>0</v>
      </c>
      <c r="J169" s="22" t="n">
        <f aca="false">J168+G169</f>
        <v>1973.65586085751</v>
      </c>
    </row>
    <row r="170" customFormat="false" ht="15" hidden="false" customHeight="false" outlineLevel="0" collapsed="false">
      <c r="A170" s="18" t="n">
        <v>169</v>
      </c>
      <c r="B170" s="19" t="n">
        <f aca="false">MAX(0,I169)</f>
        <v>0</v>
      </c>
      <c r="C170" s="19" t="n">
        <f aca="false">IF(B170&lt;=0,0,IF(A170='Loan Calculator'!B12,MIN('Loan Calculator'!B11,B170),0)+IF(A170='Loan Calculator'!B14,MIN('Loan Calculator'!B13,B170),0))</f>
        <v>0</v>
      </c>
      <c r="D170" s="19" t="n">
        <f aca="false">IF(B170&lt;=0,0,'Loan Calculator'!B4)</f>
        <v>0</v>
      </c>
      <c r="E170" s="19" t="n">
        <f aca="false">IF(B170&lt;=0,0,IF(A170&gt;='Loan Calculator'!B18,'Loan Calculator'!B17,0)+IF(A170&gt;='Loan Calculator'!B20,'Loan Calculator'!B19,0)+IF(A170&gt;='Loan Calculator'!B22,'Loan Calculator'!B21,0))</f>
        <v>0</v>
      </c>
      <c r="F170" s="19" t="n">
        <f aca="false">IF(B170&lt;=0,0,MIN(D170+E170,(B170-C170)*(1+'Loan Calculator'!B7)))</f>
        <v>0</v>
      </c>
      <c r="G170" s="19" t="n">
        <f aca="false">IF(B170&lt;=0,0,MAX(0,(B170-C170)*'Loan Calculator'!B7))</f>
        <v>0</v>
      </c>
      <c r="H170" s="19" t="n">
        <f aca="false">IF(B170&lt;=0,0,F170-G170)</f>
        <v>0</v>
      </c>
      <c r="I170" s="19" t="n">
        <f aca="false">IF(B170&lt;=0,0,MAX(0,B170-C170-H170))</f>
        <v>0</v>
      </c>
      <c r="J170" s="19" t="n">
        <f aca="false">J169+G170</f>
        <v>1973.65586085751</v>
      </c>
    </row>
    <row r="171" customFormat="false" ht="15" hidden="false" customHeight="false" outlineLevel="0" collapsed="false">
      <c r="A171" s="21" t="n">
        <v>170</v>
      </c>
      <c r="B171" s="22" t="n">
        <f aca="false">MAX(0,I170)</f>
        <v>0</v>
      </c>
      <c r="C171" s="22" t="n">
        <f aca="false">IF(B171&lt;=0,0,IF(A171='Loan Calculator'!B12,MIN('Loan Calculator'!B11,B171),0)+IF(A171='Loan Calculator'!B14,MIN('Loan Calculator'!B13,B171),0))</f>
        <v>0</v>
      </c>
      <c r="D171" s="22" t="n">
        <f aca="false">IF(B171&lt;=0,0,'Loan Calculator'!B4)</f>
        <v>0</v>
      </c>
      <c r="E171" s="22" t="n">
        <f aca="false">IF(B171&lt;=0,0,IF(A171&gt;='Loan Calculator'!B18,'Loan Calculator'!B17,0)+IF(A171&gt;='Loan Calculator'!B20,'Loan Calculator'!B19,0)+IF(A171&gt;='Loan Calculator'!B22,'Loan Calculator'!B21,0))</f>
        <v>0</v>
      </c>
      <c r="F171" s="22" t="n">
        <f aca="false">IF(B171&lt;=0,0,MIN(D171+E171,(B171-C171)*(1+'Loan Calculator'!B7)))</f>
        <v>0</v>
      </c>
      <c r="G171" s="22" t="n">
        <f aca="false">IF(B171&lt;=0,0,MAX(0,(B171-C171)*'Loan Calculator'!B7))</f>
        <v>0</v>
      </c>
      <c r="H171" s="22" t="n">
        <f aca="false">IF(B171&lt;=0,0,F171-G171)</f>
        <v>0</v>
      </c>
      <c r="I171" s="22" t="n">
        <f aca="false">IF(B171&lt;=0,0,MAX(0,B171-C171-H171))</f>
        <v>0</v>
      </c>
      <c r="J171" s="22" t="n">
        <f aca="false">J170+G171</f>
        <v>1973.65586085751</v>
      </c>
    </row>
    <row r="172" customFormat="false" ht="15" hidden="false" customHeight="false" outlineLevel="0" collapsed="false">
      <c r="A172" s="18" t="n">
        <v>171</v>
      </c>
      <c r="B172" s="19" t="n">
        <f aca="false">MAX(0,I171)</f>
        <v>0</v>
      </c>
      <c r="C172" s="19" t="n">
        <f aca="false">IF(B172&lt;=0,0,IF(A172='Loan Calculator'!B12,MIN('Loan Calculator'!B11,B172),0)+IF(A172='Loan Calculator'!B14,MIN('Loan Calculator'!B13,B172),0))</f>
        <v>0</v>
      </c>
      <c r="D172" s="19" t="n">
        <f aca="false">IF(B172&lt;=0,0,'Loan Calculator'!B4)</f>
        <v>0</v>
      </c>
      <c r="E172" s="19" t="n">
        <f aca="false">IF(B172&lt;=0,0,IF(A172&gt;='Loan Calculator'!B18,'Loan Calculator'!B17,0)+IF(A172&gt;='Loan Calculator'!B20,'Loan Calculator'!B19,0)+IF(A172&gt;='Loan Calculator'!B22,'Loan Calculator'!B21,0))</f>
        <v>0</v>
      </c>
      <c r="F172" s="19" t="n">
        <f aca="false">IF(B172&lt;=0,0,MIN(D172+E172,(B172-C172)*(1+'Loan Calculator'!B7)))</f>
        <v>0</v>
      </c>
      <c r="G172" s="19" t="n">
        <f aca="false">IF(B172&lt;=0,0,MAX(0,(B172-C172)*'Loan Calculator'!B7))</f>
        <v>0</v>
      </c>
      <c r="H172" s="19" t="n">
        <f aca="false">IF(B172&lt;=0,0,F172-G172)</f>
        <v>0</v>
      </c>
      <c r="I172" s="19" t="n">
        <f aca="false">IF(B172&lt;=0,0,MAX(0,B172-C172-H172))</f>
        <v>0</v>
      </c>
      <c r="J172" s="19" t="n">
        <f aca="false">J171+G172</f>
        <v>1973.65586085751</v>
      </c>
    </row>
    <row r="173" customFormat="false" ht="15" hidden="false" customHeight="false" outlineLevel="0" collapsed="false">
      <c r="A173" s="21" t="n">
        <v>172</v>
      </c>
      <c r="B173" s="22" t="n">
        <f aca="false">MAX(0,I172)</f>
        <v>0</v>
      </c>
      <c r="C173" s="22" t="n">
        <f aca="false">IF(B173&lt;=0,0,IF(A173='Loan Calculator'!B12,MIN('Loan Calculator'!B11,B173),0)+IF(A173='Loan Calculator'!B14,MIN('Loan Calculator'!B13,B173),0))</f>
        <v>0</v>
      </c>
      <c r="D173" s="22" t="n">
        <f aca="false">IF(B173&lt;=0,0,'Loan Calculator'!B4)</f>
        <v>0</v>
      </c>
      <c r="E173" s="22" t="n">
        <f aca="false">IF(B173&lt;=0,0,IF(A173&gt;='Loan Calculator'!B18,'Loan Calculator'!B17,0)+IF(A173&gt;='Loan Calculator'!B20,'Loan Calculator'!B19,0)+IF(A173&gt;='Loan Calculator'!B22,'Loan Calculator'!B21,0))</f>
        <v>0</v>
      </c>
      <c r="F173" s="22" t="n">
        <f aca="false">IF(B173&lt;=0,0,MIN(D173+E173,(B173-C173)*(1+'Loan Calculator'!B7)))</f>
        <v>0</v>
      </c>
      <c r="G173" s="22" t="n">
        <f aca="false">IF(B173&lt;=0,0,MAX(0,(B173-C173)*'Loan Calculator'!B7))</f>
        <v>0</v>
      </c>
      <c r="H173" s="22" t="n">
        <f aca="false">IF(B173&lt;=0,0,F173-G173)</f>
        <v>0</v>
      </c>
      <c r="I173" s="22" t="n">
        <f aca="false">IF(B173&lt;=0,0,MAX(0,B173-C173-H173))</f>
        <v>0</v>
      </c>
      <c r="J173" s="22" t="n">
        <f aca="false">J172+G173</f>
        <v>1973.65586085751</v>
      </c>
    </row>
    <row r="174" customFormat="false" ht="15" hidden="false" customHeight="false" outlineLevel="0" collapsed="false">
      <c r="A174" s="18" t="n">
        <v>173</v>
      </c>
      <c r="B174" s="19" t="n">
        <f aca="false">MAX(0,I173)</f>
        <v>0</v>
      </c>
      <c r="C174" s="19" t="n">
        <f aca="false">IF(B174&lt;=0,0,IF(A174='Loan Calculator'!B12,MIN('Loan Calculator'!B11,B174),0)+IF(A174='Loan Calculator'!B14,MIN('Loan Calculator'!B13,B174),0))</f>
        <v>0</v>
      </c>
      <c r="D174" s="19" t="n">
        <f aca="false">IF(B174&lt;=0,0,'Loan Calculator'!B4)</f>
        <v>0</v>
      </c>
      <c r="E174" s="19" t="n">
        <f aca="false">IF(B174&lt;=0,0,IF(A174&gt;='Loan Calculator'!B18,'Loan Calculator'!B17,0)+IF(A174&gt;='Loan Calculator'!B20,'Loan Calculator'!B19,0)+IF(A174&gt;='Loan Calculator'!B22,'Loan Calculator'!B21,0))</f>
        <v>0</v>
      </c>
      <c r="F174" s="19" t="n">
        <f aca="false">IF(B174&lt;=0,0,MIN(D174+E174,(B174-C174)*(1+'Loan Calculator'!B7)))</f>
        <v>0</v>
      </c>
      <c r="G174" s="19" t="n">
        <f aca="false">IF(B174&lt;=0,0,MAX(0,(B174-C174)*'Loan Calculator'!B7))</f>
        <v>0</v>
      </c>
      <c r="H174" s="19" t="n">
        <f aca="false">IF(B174&lt;=0,0,F174-G174)</f>
        <v>0</v>
      </c>
      <c r="I174" s="19" t="n">
        <f aca="false">IF(B174&lt;=0,0,MAX(0,B174-C174-H174))</f>
        <v>0</v>
      </c>
      <c r="J174" s="19" t="n">
        <f aca="false">J173+G174</f>
        <v>1973.65586085751</v>
      </c>
    </row>
    <row r="175" customFormat="false" ht="15" hidden="false" customHeight="false" outlineLevel="0" collapsed="false">
      <c r="A175" s="21" t="n">
        <v>174</v>
      </c>
      <c r="B175" s="22" t="n">
        <f aca="false">MAX(0,I174)</f>
        <v>0</v>
      </c>
      <c r="C175" s="22" t="n">
        <f aca="false">IF(B175&lt;=0,0,IF(A175='Loan Calculator'!B12,MIN('Loan Calculator'!B11,B175),0)+IF(A175='Loan Calculator'!B14,MIN('Loan Calculator'!B13,B175),0))</f>
        <v>0</v>
      </c>
      <c r="D175" s="22" t="n">
        <f aca="false">IF(B175&lt;=0,0,'Loan Calculator'!B4)</f>
        <v>0</v>
      </c>
      <c r="E175" s="22" t="n">
        <f aca="false">IF(B175&lt;=0,0,IF(A175&gt;='Loan Calculator'!B18,'Loan Calculator'!B17,0)+IF(A175&gt;='Loan Calculator'!B20,'Loan Calculator'!B19,0)+IF(A175&gt;='Loan Calculator'!B22,'Loan Calculator'!B21,0))</f>
        <v>0</v>
      </c>
      <c r="F175" s="22" t="n">
        <f aca="false">IF(B175&lt;=0,0,MIN(D175+E175,(B175-C175)*(1+'Loan Calculator'!B7)))</f>
        <v>0</v>
      </c>
      <c r="G175" s="22" t="n">
        <f aca="false">IF(B175&lt;=0,0,MAX(0,(B175-C175)*'Loan Calculator'!B7))</f>
        <v>0</v>
      </c>
      <c r="H175" s="22" t="n">
        <f aca="false">IF(B175&lt;=0,0,F175-G175)</f>
        <v>0</v>
      </c>
      <c r="I175" s="22" t="n">
        <f aca="false">IF(B175&lt;=0,0,MAX(0,B175-C175-H175))</f>
        <v>0</v>
      </c>
      <c r="J175" s="22" t="n">
        <f aca="false">J174+G175</f>
        <v>1973.65586085751</v>
      </c>
    </row>
    <row r="176" customFormat="false" ht="15" hidden="false" customHeight="false" outlineLevel="0" collapsed="false">
      <c r="A176" s="18" t="n">
        <v>175</v>
      </c>
      <c r="B176" s="19" t="n">
        <f aca="false">MAX(0,I175)</f>
        <v>0</v>
      </c>
      <c r="C176" s="19" t="n">
        <f aca="false">IF(B176&lt;=0,0,IF(A176='Loan Calculator'!B12,MIN('Loan Calculator'!B11,B176),0)+IF(A176='Loan Calculator'!B14,MIN('Loan Calculator'!B13,B176),0))</f>
        <v>0</v>
      </c>
      <c r="D176" s="19" t="n">
        <f aca="false">IF(B176&lt;=0,0,'Loan Calculator'!B4)</f>
        <v>0</v>
      </c>
      <c r="E176" s="19" t="n">
        <f aca="false">IF(B176&lt;=0,0,IF(A176&gt;='Loan Calculator'!B18,'Loan Calculator'!B17,0)+IF(A176&gt;='Loan Calculator'!B20,'Loan Calculator'!B19,0)+IF(A176&gt;='Loan Calculator'!B22,'Loan Calculator'!B21,0))</f>
        <v>0</v>
      </c>
      <c r="F176" s="19" t="n">
        <f aca="false">IF(B176&lt;=0,0,MIN(D176+E176,(B176-C176)*(1+'Loan Calculator'!B7)))</f>
        <v>0</v>
      </c>
      <c r="G176" s="19" t="n">
        <f aca="false">IF(B176&lt;=0,0,MAX(0,(B176-C176)*'Loan Calculator'!B7))</f>
        <v>0</v>
      </c>
      <c r="H176" s="19" t="n">
        <f aca="false">IF(B176&lt;=0,0,F176-G176)</f>
        <v>0</v>
      </c>
      <c r="I176" s="19" t="n">
        <f aca="false">IF(B176&lt;=0,0,MAX(0,B176-C176-H176))</f>
        <v>0</v>
      </c>
      <c r="J176" s="19" t="n">
        <f aca="false">J175+G176</f>
        <v>1973.65586085751</v>
      </c>
    </row>
    <row r="177" customFormat="false" ht="15" hidden="false" customHeight="false" outlineLevel="0" collapsed="false">
      <c r="A177" s="21" t="n">
        <v>176</v>
      </c>
      <c r="B177" s="22" t="n">
        <f aca="false">MAX(0,I176)</f>
        <v>0</v>
      </c>
      <c r="C177" s="22" t="n">
        <f aca="false">IF(B177&lt;=0,0,IF(A177='Loan Calculator'!B12,MIN('Loan Calculator'!B11,B177),0)+IF(A177='Loan Calculator'!B14,MIN('Loan Calculator'!B13,B177),0))</f>
        <v>0</v>
      </c>
      <c r="D177" s="22" t="n">
        <f aca="false">IF(B177&lt;=0,0,'Loan Calculator'!B4)</f>
        <v>0</v>
      </c>
      <c r="E177" s="22" t="n">
        <f aca="false">IF(B177&lt;=0,0,IF(A177&gt;='Loan Calculator'!B18,'Loan Calculator'!B17,0)+IF(A177&gt;='Loan Calculator'!B20,'Loan Calculator'!B19,0)+IF(A177&gt;='Loan Calculator'!B22,'Loan Calculator'!B21,0))</f>
        <v>0</v>
      </c>
      <c r="F177" s="22" t="n">
        <f aca="false">IF(B177&lt;=0,0,MIN(D177+E177,(B177-C177)*(1+'Loan Calculator'!B7)))</f>
        <v>0</v>
      </c>
      <c r="G177" s="22" t="n">
        <f aca="false">IF(B177&lt;=0,0,MAX(0,(B177-C177)*'Loan Calculator'!B7))</f>
        <v>0</v>
      </c>
      <c r="H177" s="22" t="n">
        <f aca="false">IF(B177&lt;=0,0,F177-G177)</f>
        <v>0</v>
      </c>
      <c r="I177" s="22" t="n">
        <f aca="false">IF(B177&lt;=0,0,MAX(0,B177-C177-H177))</f>
        <v>0</v>
      </c>
      <c r="J177" s="22" t="n">
        <f aca="false">J176+G177</f>
        <v>1973.65586085751</v>
      </c>
    </row>
    <row r="178" customFormat="false" ht="15" hidden="false" customHeight="false" outlineLevel="0" collapsed="false">
      <c r="A178" s="18" t="n">
        <v>177</v>
      </c>
      <c r="B178" s="19" t="n">
        <f aca="false">MAX(0,I177)</f>
        <v>0</v>
      </c>
      <c r="C178" s="19" t="n">
        <f aca="false">IF(B178&lt;=0,0,IF(A178='Loan Calculator'!B12,MIN('Loan Calculator'!B11,B178),0)+IF(A178='Loan Calculator'!B14,MIN('Loan Calculator'!B13,B178),0))</f>
        <v>0</v>
      </c>
      <c r="D178" s="19" t="n">
        <f aca="false">IF(B178&lt;=0,0,'Loan Calculator'!B4)</f>
        <v>0</v>
      </c>
      <c r="E178" s="19" t="n">
        <f aca="false">IF(B178&lt;=0,0,IF(A178&gt;='Loan Calculator'!B18,'Loan Calculator'!B17,0)+IF(A178&gt;='Loan Calculator'!B20,'Loan Calculator'!B19,0)+IF(A178&gt;='Loan Calculator'!B22,'Loan Calculator'!B21,0))</f>
        <v>0</v>
      </c>
      <c r="F178" s="19" t="n">
        <f aca="false">IF(B178&lt;=0,0,MIN(D178+E178,(B178-C178)*(1+'Loan Calculator'!B7)))</f>
        <v>0</v>
      </c>
      <c r="G178" s="19" t="n">
        <f aca="false">IF(B178&lt;=0,0,MAX(0,(B178-C178)*'Loan Calculator'!B7))</f>
        <v>0</v>
      </c>
      <c r="H178" s="19" t="n">
        <f aca="false">IF(B178&lt;=0,0,F178-G178)</f>
        <v>0</v>
      </c>
      <c r="I178" s="19" t="n">
        <f aca="false">IF(B178&lt;=0,0,MAX(0,B178-C178-H178))</f>
        <v>0</v>
      </c>
      <c r="J178" s="19" t="n">
        <f aca="false">J177+G178</f>
        <v>1973.65586085751</v>
      </c>
    </row>
    <row r="179" customFormat="false" ht="15" hidden="false" customHeight="false" outlineLevel="0" collapsed="false">
      <c r="A179" s="21" t="n">
        <v>178</v>
      </c>
      <c r="B179" s="22" t="n">
        <f aca="false">MAX(0,I178)</f>
        <v>0</v>
      </c>
      <c r="C179" s="22" t="n">
        <f aca="false">IF(B179&lt;=0,0,IF(A179='Loan Calculator'!B12,MIN('Loan Calculator'!B11,B179),0)+IF(A179='Loan Calculator'!B14,MIN('Loan Calculator'!B13,B179),0))</f>
        <v>0</v>
      </c>
      <c r="D179" s="22" t="n">
        <f aca="false">IF(B179&lt;=0,0,'Loan Calculator'!B4)</f>
        <v>0</v>
      </c>
      <c r="E179" s="22" t="n">
        <f aca="false">IF(B179&lt;=0,0,IF(A179&gt;='Loan Calculator'!B18,'Loan Calculator'!B17,0)+IF(A179&gt;='Loan Calculator'!B20,'Loan Calculator'!B19,0)+IF(A179&gt;='Loan Calculator'!B22,'Loan Calculator'!B21,0))</f>
        <v>0</v>
      </c>
      <c r="F179" s="22" t="n">
        <f aca="false">IF(B179&lt;=0,0,MIN(D179+E179,(B179-C179)*(1+'Loan Calculator'!B7)))</f>
        <v>0</v>
      </c>
      <c r="G179" s="22" t="n">
        <f aca="false">IF(B179&lt;=0,0,MAX(0,(B179-C179)*'Loan Calculator'!B7))</f>
        <v>0</v>
      </c>
      <c r="H179" s="22" t="n">
        <f aca="false">IF(B179&lt;=0,0,F179-G179)</f>
        <v>0</v>
      </c>
      <c r="I179" s="22" t="n">
        <f aca="false">IF(B179&lt;=0,0,MAX(0,B179-C179-H179))</f>
        <v>0</v>
      </c>
      <c r="J179" s="22" t="n">
        <f aca="false">J178+G179</f>
        <v>1973.65586085751</v>
      </c>
    </row>
    <row r="180" customFormat="false" ht="15" hidden="false" customHeight="false" outlineLevel="0" collapsed="false">
      <c r="A180" s="18" t="n">
        <v>179</v>
      </c>
      <c r="B180" s="19" t="n">
        <f aca="false">MAX(0,I179)</f>
        <v>0</v>
      </c>
      <c r="C180" s="19" t="n">
        <f aca="false">IF(B180&lt;=0,0,IF(A180='Loan Calculator'!B12,MIN('Loan Calculator'!B11,B180),0)+IF(A180='Loan Calculator'!B14,MIN('Loan Calculator'!B13,B180),0))</f>
        <v>0</v>
      </c>
      <c r="D180" s="19" t="n">
        <f aca="false">IF(B180&lt;=0,0,'Loan Calculator'!B4)</f>
        <v>0</v>
      </c>
      <c r="E180" s="19" t="n">
        <f aca="false">IF(B180&lt;=0,0,IF(A180&gt;='Loan Calculator'!B18,'Loan Calculator'!B17,0)+IF(A180&gt;='Loan Calculator'!B20,'Loan Calculator'!B19,0)+IF(A180&gt;='Loan Calculator'!B22,'Loan Calculator'!B21,0))</f>
        <v>0</v>
      </c>
      <c r="F180" s="19" t="n">
        <f aca="false">IF(B180&lt;=0,0,MIN(D180+E180,(B180-C180)*(1+'Loan Calculator'!B7)))</f>
        <v>0</v>
      </c>
      <c r="G180" s="19" t="n">
        <f aca="false">IF(B180&lt;=0,0,MAX(0,(B180-C180)*'Loan Calculator'!B7))</f>
        <v>0</v>
      </c>
      <c r="H180" s="19" t="n">
        <f aca="false">IF(B180&lt;=0,0,F180-G180)</f>
        <v>0</v>
      </c>
      <c r="I180" s="19" t="n">
        <f aca="false">IF(B180&lt;=0,0,MAX(0,B180-C180-H180))</f>
        <v>0</v>
      </c>
      <c r="J180" s="19" t="n">
        <f aca="false">J179+G180</f>
        <v>1973.65586085751</v>
      </c>
    </row>
    <row r="181" customFormat="false" ht="15" hidden="false" customHeight="false" outlineLevel="0" collapsed="false">
      <c r="A181" s="21" t="n">
        <v>180</v>
      </c>
      <c r="B181" s="22" t="n">
        <f aca="false">MAX(0,I180)</f>
        <v>0</v>
      </c>
      <c r="C181" s="22" t="n">
        <f aca="false">IF(B181&lt;=0,0,IF(A181='Loan Calculator'!B12,MIN('Loan Calculator'!B11,B181),0)+IF(A181='Loan Calculator'!B14,MIN('Loan Calculator'!B13,B181),0))</f>
        <v>0</v>
      </c>
      <c r="D181" s="22" t="n">
        <f aca="false">IF(B181&lt;=0,0,'Loan Calculator'!B4)</f>
        <v>0</v>
      </c>
      <c r="E181" s="22" t="n">
        <f aca="false">IF(B181&lt;=0,0,IF(A181&gt;='Loan Calculator'!B18,'Loan Calculator'!B17,0)+IF(A181&gt;='Loan Calculator'!B20,'Loan Calculator'!B19,0)+IF(A181&gt;='Loan Calculator'!B22,'Loan Calculator'!B21,0))</f>
        <v>0</v>
      </c>
      <c r="F181" s="22" t="n">
        <f aca="false">IF(B181&lt;=0,0,MIN(D181+E181,(B181-C181)*(1+'Loan Calculator'!B7)))</f>
        <v>0</v>
      </c>
      <c r="G181" s="22" t="n">
        <f aca="false">IF(B181&lt;=0,0,MAX(0,(B181-C181)*'Loan Calculator'!B7))</f>
        <v>0</v>
      </c>
      <c r="H181" s="22" t="n">
        <f aca="false">IF(B181&lt;=0,0,F181-G181)</f>
        <v>0</v>
      </c>
      <c r="I181" s="22" t="n">
        <f aca="false">IF(B181&lt;=0,0,MAX(0,B181-C181-H181))</f>
        <v>0</v>
      </c>
      <c r="J181" s="22" t="n">
        <f aca="false">J180+G181</f>
        <v>1973.65586085751</v>
      </c>
    </row>
    <row r="182" customFormat="false" ht="15" hidden="false" customHeight="false" outlineLevel="0" collapsed="false">
      <c r="A182" s="18" t="n">
        <v>181</v>
      </c>
      <c r="B182" s="19" t="n">
        <f aca="false">MAX(0,I181)</f>
        <v>0</v>
      </c>
      <c r="C182" s="19" t="n">
        <f aca="false">IF(B182&lt;=0,0,IF(A182='Loan Calculator'!B12,MIN('Loan Calculator'!B11,B182),0)+IF(A182='Loan Calculator'!B14,MIN('Loan Calculator'!B13,B182),0))</f>
        <v>0</v>
      </c>
      <c r="D182" s="19" t="n">
        <f aca="false">IF(B182&lt;=0,0,'Loan Calculator'!B4)</f>
        <v>0</v>
      </c>
      <c r="E182" s="19" t="n">
        <f aca="false">IF(B182&lt;=0,0,IF(A182&gt;='Loan Calculator'!B18,'Loan Calculator'!B17,0)+IF(A182&gt;='Loan Calculator'!B20,'Loan Calculator'!B19,0)+IF(A182&gt;='Loan Calculator'!B22,'Loan Calculator'!B21,0))</f>
        <v>0</v>
      </c>
      <c r="F182" s="19" t="n">
        <f aca="false">IF(B182&lt;=0,0,MIN(D182+E182,(B182-C182)*(1+'Loan Calculator'!B7)))</f>
        <v>0</v>
      </c>
      <c r="G182" s="19" t="n">
        <f aca="false">IF(B182&lt;=0,0,MAX(0,(B182-C182)*'Loan Calculator'!B7))</f>
        <v>0</v>
      </c>
      <c r="H182" s="19" t="n">
        <f aca="false">IF(B182&lt;=0,0,F182-G182)</f>
        <v>0</v>
      </c>
      <c r="I182" s="19" t="n">
        <f aca="false">IF(B182&lt;=0,0,MAX(0,B182-C182-H182))</f>
        <v>0</v>
      </c>
      <c r="J182" s="19" t="n">
        <f aca="false">J181+G182</f>
        <v>1973.65586085751</v>
      </c>
    </row>
    <row r="183" customFormat="false" ht="15" hidden="false" customHeight="false" outlineLevel="0" collapsed="false">
      <c r="A183" s="21" t="n">
        <v>182</v>
      </c>
      <c r="B183" s="22" t="n">
        <f aca="false">MAX(0,I182)</f>
        <v>0</v>
      </c>
      <c r="C183" s="22" t="n">
        <f aca="false">IF(B183&lt;=0,0,IF(A183='Loan Calculator'!B12,MIN('Loan Calculator'!B11,B183),0)+IF(A183='Loan Calculator'!B14,MIN('Loan Calculator'!B13,B183),0))</f>
        <v>0</v>
      </c>
      <c r="D183" s="22" t="n">
        <f aca="false">IF(B183&lt;=0,0,'Loan Calculator'!B4)</f>
        <v>0</v>
      </c>
      <c r="E183" s="22" t="n">
        <f aca="false">IF(B183&lt;=0,0,IF(A183&gt;='Loan Calculator'!B18,'Loan Calculator'!B17,0)+IF(A183&gt;='Loan Calculator'!B20,'Loan Calculator'!B19,0)+IF(A183&gt;='Loan Calculator'!B22,'Loan Calculator'!B21,0))</f>
        <v>0</v>
      </c>
      <c r="F183" s="22" t="n">
        <f aca="false">IF(B183&lt;=0,0,MIN(D183+E183,(B183-C183)*(1+'Loan Calculator'!B7)))</f>
        <v>0</v>
      </c>
      <c r="G183" s="22" t="n">
        <f aca="false">IF(B183&lt;=0,0,MAX(0,(B183-C183)*'Loan Calculator'!B7))</f>
        <v>0</v>
      </c>
      <c r="H183" s="22" t="n">
        <f aca="false">IF(B183&lt;=0,0,F183-G183)</f>
        <v>0</v>
      </c>
      <c r="I183" s="22" t="n">
        <f aca="false">IF(B183&lt;=0,0,MAX(0,B183-C183-H183))</f>
        <v>0</v>
      </c>
      <c r="J183" s="22" t="n">
        <f aca="false">J182+G183</f>
        <v>1973.65586085751</v>
      </c>
    </row>
    <row r="184" customFormat="false" ht="15" hidden="false" customHeight="false" outlineLevel="0" collapsed="false">
      <c r="A184" s="18" t="n">
        <v>183</v>
      </c>
      <c r="B184" s="19" t="n">
        <f aca="false">MAX(0,I183)</f>
        <v>0</v>
      </c>
      <c r="C184" s="19" t="n">
        <f aca="false">IF(B184&lt;=0,0,IF(A184='Loan Calculator'!B12,MIN('Loan Calculator'!B11,B184),0)+IF(A184='Loan Calculator'!B14,MIN('Loan Calculator'!B13,B184),0))</f>
        <v>0</v>
      </c>
      <c r="D184" s="19" t="n">
        <f aca="false">IF(B184&lt;=0,0,'Loan Calculator'!B4)</f>
        <v>0</v>
      </c>
      <c r="E184" s="19" t="n">
        <f aca="false">IF(B184&lt;=0,0,IF(A184&gt;='Loan Calculator'!B18,'Loan Calculator'!B17,0)+IF(A184&gt;='Loan Calculator'!B20,'Loan Calculator'!B19,0)+IF(A184&gt;='Loan Calculator'!B22,'Loan Calculator'!B21,0))</f>
        <v>0</v>
      </c>
      <c r="F184" s="19" t="n">
        <f aca="false">IF(B184&lt;=0,0,MIN(D184+E184,(B184-C184)*(1+'Loan Calculator'!B7)))</f>
        <v>0</v>
      </c>
      <c r="G184" s="19" t="n">
        <f aca="false">IF(B184&lt;=0,0,MAX(0,(B184-C184)*'Loan Calculator'!B7))</f>
        <v>0</v>
      </c>
      <c r="H184" s="19" t="n">
        <f aca="false">IF(B184&lt;=0,0,F184-G184)</f>
        <v>0</v>
      </c>
      <c r="I184" s="19" t="n">
        <f aca="false">IF(B184&lt;=0,0,MAX(0,B184-C184-H184))</f>
        <v>0</v>
      </c>
      <c r="J184" s="19" t="n">
        <f aca="false">J183+G184</f>
        <v>1973.65586085751</v>
      </c>
    </row>
    <row r="185" customFormat="false" ht="15" hidden="false" customHeight="false" outlineLevel="0" collapsed="false">
      <c r="A185" s="21" t="n">
        <v>184</v>
      </c>
      <c r="B185" s="22" t="n">
        <f aca="false">MAX(0,I184)</f>
        <v>0</v>
      </c>
      <c r="C185" s="22" t="n">
        <f aca="false">IF(B185&lt;=0,0,IF(A185='Loan Calculator'!B12,MIN('Loan Calculator'!B11,B185),0)+IF(A185='Loan Calculator'!B14,MIN('Loan Calculator'!B13,B185),0))</f>
        <v>0</v>
      </c>
      <c r="D185" s="22" t="n">
        <f aca="false">IF(B185&lt;=0,0,'Loan Calculator'!B4)</f>
        <v>0</v>
      </c>
      <c r="E185" s="22" t="n">
        <f aca="false">IF(B185&lt;=0,0,IF(A185&gt;='Loan Calculator'!B18,'Loan Calculator'!B17,0)+IF(A185&gt;='Loan Calculator'!B20,'Loan Calculator'!B19,0)+IF(A185&gt;='Loan Calculator'!B22,'Loan Calculator'!B21,0))</f>
        <v>0</v>
      </c>
      <c r="F185" s="22" t="n">
        <f aca="false">IF(B185&lt;=0,0,MIN(D185+E185,(B185-C185)*(1+'Loan Calculator'!B7)))</f>
        <v>0</v>
      </c>
      <c r="G185" s="22" t="n">
        <f aca="false">IF(B185&lt;=0,0,MAX(0,(B185-C185)*'Loan Calculator'!B7))</f>
        <v>0</v>
      </c>
      <c r="H185" s="22" t="n">
        <f aca="false">IF(B185&lt;=0,0,F185-G185)</f>
        <v>0</v>
      </c>
      <c r="I185" s="22" t="n">
        <f aca="false">IF(B185&lt;=0,0,MAX(0,B185-C185-H185))</f>
        <v>0</v>
      </c>
      <c r="J185" s="22" t="n">
        <f aca="false">J184+G185</f>
        <v>1973.65586085751</v>
      </c>
    </row>
    <row r="186" customFormat="false" ht="15" hidden="false" customHeight="false" outlineLevel="0" collapsed="false">
      <c r="A186" s="18" t="n">
        <v>185</v>
      </c>
      <c r="B186" s="19" t="n">
        <f aca="false">MAX(0,I185)</f>
        <v>0</v>
      </c>
      <c r="C186" s="19" t="n">
        <f aca="false">IF(B186&lt;=0,0,IF(A186='Loan Calculator'!B12,MIN('Loan Calculator'!B11,B186),0)+IF(A186='Loan Calculator'!B14,MIN('Loan Calculator'!B13,B186),0))</f>
        <v>0</v>
      </c>
      <c r="D186" s="19" t="n">
        <f aca="false">IF(B186&lt;=0,0,'Loan Calculator'!B4)</f>
        <v>0</v>
      </c>
      <c r="E186" s="19" t="n">
        <f aca="false">IF(B186&lt;=0,0,IF(A186&gt;='Loan Calculator'!B18,'Loan Calculator'!B17,0)+IF(A186&gt;='Loan Calculator'!B20,'Loan Calculator'!B19,0)+IF(A186&gt;='Loan Calculator'!B22,'Loan Calculator'!B21,0))</f>
        <v>0</v>
      </c>
      <c r="F186" s="19" t="n">
        <f aca="false">IF(B186&lt;=0,0,MIN(D186+E186,(B186-C186)*(1+'Loan Calculator'!B7)))</f>
        <v>0</v>
      </c>
      <c r="G186" s="19" t="n">
        <f aca="false">IF(B186&lt;=0,0,MAX(0,(B186-C186)*'Loan Calculator'!B7))</f>
        <v>0</v>
      </c>
      <c r="H186" s="19" t="n">
        <f aca="false">IF(B186&lt;=0,0,F186-G186)</f>
        <v>0</v>
      </c>
      <c r="I186" s="19" t="n">
        <f aca="false">IF(B186&lt;=0,0,MAX(0,B186-C186-H186))</f>
        <v>0</v>
      </c>
      <c r="J186" s="19" t="n">
        <f aca="false">J185+G186</f>
        <v>1973.65586085751</v>
      </c>
    </row>
    <row r="187" customFormat="false" ht="15" hidden="false" customHeight="false" outlineLevel="0" collapsed="false">
      <c r="A187" s="21" t="n">
        <v>186</v>
      </c>
      <c r="B187" s="22" t="n">
        <f aca="false">MAX(0,I186)</f>
        <v>0</v>
      </c>
      <c r="C187" s="22" t="n">
        <f aca="false">IF(B187&lt;=0,0,IF(A187='Loan Calculator'!B12,MIN('Loan Calculator'!B11,B187),0)+IF(A187='Loan Calculator'!B14,MIN('Loan Calculator'!B13,B187),0))</f>
        <v>0</v>
      </c>
      <c r="D187" s="22" t="n">
        <f aca="false">IF(B187&lt;=0,0,'Loan Calculator'!B4)</f>
        <v>0</v>
      </c>
      <c r="E187" s="22" t="n">
        <f aca="false">IF(B187&lt;=0,0,IF(A187&gt;='Loan Calculator'!B18,'Loan Calculator'!B17,0)+IF(A187&gt;='Loan Calculator'!B20,'Loan Calculator'!B19,0)+IF(A187&gt;='Loan Calculator'!B22,'Loan Calculator'!B21,0))</f>
        <v>0</v>
      </c>
      <c r="F187" s="22" t="n">
        <f aca="false">IF(B187&lt;=0,0,MIN(D187+E187,(B187-C187)*(1+'Loan Calculator'!B7)))</f>
        <v>0</v>
      </c>
      <c r="G187" s="22" t="n">
        <f aca="false">IF(B187&lt;=0,0,MAX(0,(B187-C187)*'Loan Calculator'!B7))</f>
        <v>0</v>
      </c>
      <c r="H187" s="22" t="n">
        <f aca="false">IF(B187&lt;=0,0,F187-G187)</f>
        <v>0</v>
      </c>
      <c r="I187" s="22" t="n">
        <f aca="false">IF(B187&lt;=0,0,MAX(0,B187-C187-H187))</f>
        <v>0</v>
      </c>
      <c r="J187" s="22" t="n">
        <f aca="false">J186+G187</f>
        <v>1973.65586085751</v>
      </c>
    </row>
    <row r="188" customFormat="false" ht="15" hidden="false" customHeight="false" outlineLevel="0" collapsed="false">
      <c r="A188" s="18" t="n">
        <v>187</v>
      </c>
      <c r="B188" s="19" t="n">
        <f aca="false">MAX(0,I187)</f>
        <v>0</v>
      </c>
      <c r="C188" s="19" t="n">
        <f aca="false">IF(B188&lt;=0,0,IF(A188='Loan Calculator'!B12,MIN('Loan Calculator'!B11,B188),0)+IF(A188='Loan Calculator'!B14,MIN('Loan Calculator'!B13,B188),0))</f>
        <v>0</v>
      </c>
      <c r="D188" s="19" t="n">
        <f aca="false">IF(B188&lt;=0,0,'Loan Calculator'!B4)</f>
        <v>0</v>
      </c>
      <c r="E188" s="19" t="n">
        <f aca="false">IF(B188&lt;=0,0,IF(A188&gt;='Loan Calculator'!B18,'Loan Calculator'!B17,0)+IF(A188&gt;='Loan Calculator'!B20,'Loan Calculator'!B19,0)+IF(A188&gt;='Loan Calculator'!B22,'Loan Calculator'!B21,0))</f>
        <v>0</v>
      </c>
      <c r="F188" s="19" t="n">
        <f aca="false">IF(B188&lt;=0,0,MIN(D188+E188,(B188-C188)*(1+'Loan Calculator'!B7)))</f>
        <v>0</v>
      </c>
      <c r="G188" s="19" t="n">
        <f aca="false">IF(B188&lt;=0,0,MAX(0,(B188-C188)*'Loan Calculator'!B7))</f>
        <v>0</v>
      </c>
      <c r="H188" s="19" t="n">
        <f aca="false">IF(B188&lt;=0,0,F188-G188)</f>
        <v>0</v>
      </c>
      <c r="I188" s="19" t="n">
        <f aca="false">IF(B188&lt;=0,0,MAX(0,B188-C188-H188))</f>
        <v>0</v>
      </c>
      <c r="J188" s="19" t="n">
        <f aca="false">J187+G188</f>
        <v>1973.65586085751</v>
      </c>
    </row>
    <row r="189" customFormat="false" ht="15" hidden="false" customHeight="false" outlineLevel="0" collapsed="false">
      <c r="A189" s="21" t="n">
        <v>188</v>
      </c>
      <c r="B189" s="22" t="n">
        <f aca="false">MAX(0,I188)</f>
        <v>0</v>
      </c>
      <c r="C189" s="22" t="n">
        <f aca="false">IF(B189&lt;=0,0,IF(A189='Loan Calculator'!B12,MIN('Loan Calculator'!B11,B189),0)+IF(A189='Loan Calculator'!B14,MIN('Loan Calculator'!B13,B189),0))</f>
        <v>0</v>
      </c>
      <c r="D189" s="22" t="n">
        <f aca="false">IF(B189&lt;=0,0,'Loan Calculator'!B4)</f>
        <v>0</v>
      </c>
      <c r="E189" s="22" t="n">
        <f aca="false">IF(B189&lt;=0,0,IF(A189&gt;='Loan Calculator'!B18,'Loan Calculator'!B17,0)+IF(A189&gt;='Loan Calculator'!B20,'Loan Calculator'!B19,0)+IF(A189&gt;='Loan Calculator'!B22,'Loan Calculator'!B21,0))</f>
        <v>0</v>
      </c>
      <c r="F189" s="22" t="n">
        <f aca="false">IF(B189&lt;=0,0,MIN(D189+E189,(B189-C189)*(1+'Loan Calculator'!B7)))</f>
        <v>0</v>
      </c>
      <c r="G189" s="22" t="n">
        <f aca="false">IF(B189&lt;=0,0,MAX(0,(B189-C189)*'Loan Calculator'!B7))</f>
        <v>0</v>
      </c>
      <c r="H189" s="22" t="n">
        <f aca="false">IF(B189&lt;=0,0,F189-G189)</f>
        <v>0</v>
      </c>
      <c r="I189" s="22" t="n">
        <f aca="false">IF(B189&lt;=0,0,MAX(0,B189-C189-H189))</f>
        <v>0</v>
      </c>
      <c r="J189" s="22" t="n">
        <f aca="false">J188+G189</f>
        <v>1973.65586085751</v>
      </c>
    </row>
    <row r="190" customFormat="false" ht="15" hidden="false" customHeight="false" outlineLevel="0" collapsed="false">
      <c r="A190" s="18" t="n">
        <v>189</v>
      </c>
      <c r="B190" s="19" t="n">
        <f aca="false">MAX(0,I189)</f>
        <v>0</v>
      </c>
      <c r="C190" s="19" t="n">
        <f aca="false">IF(B190&lt;=0,0,IF(A190='Loan Calculator'!B12,MIN('Loan Calculator'!B11,B190),0)+IF(A190='Loan Calculator'!B14,MIN('Loan Calculator'!B13,B190),0))</f>
        <v>0</v>
      </c>
      <c r="D190" s="19" t="n">
        <f aca="false">IF(B190&lt;=0,0,'Loan Calculator'!B4)</f>
        <v>0</v>
      </c>
      <c r="E190" s="19" t="n">
        <f aca="false">IF(B190&lt;=0,0,IF(A190&gt;='Loan Calculator'!B18,'Loan Calculator'!B17,0)+IF(A190&gt;='Loan Calculator'!B20,'Loan Calculator'!B19,0)+IF(A190&gt;='Loan Calculator'!B22,'Loan Calculator'!B21,0))</f>
        <v>0</v>
      </c>
      <c r="F190" s="19" t="n">
        <f aca="false">IF(B190&lt;=0,0,MIN(D190+E190,(B190-C190)*(1+'Loan Calculator'!B7)))</f>
        <v>0</v>
      </c>
      <c r="G190" s="19" t="n">
        <f aca="false">IF(B190&lt;=0,0,MAX(0,(B190-C190)*'Loan Calculator'!B7))</f>
        <v>0</v>
      </c>
      <c r="H190" s="19" t="n">
        <f aca="false">IF(B190&lt;=0,0,F190-G190)</f>
        <v>0</v>
      </c>
      <c r="I190" s="19" t="n">
        <f aca="false">IF(B190&lt;=0,0,MAX(0,B190-C190-H190))</f>
        <v>0</v>
      </c>
      <c r="J190" s="19" t="n">
        <f aca="false">J189+G190</f>
        <v>1973.65586085751</v>
      </c>
    </row>
    <row r="191" customFormat="false" ht="15" hidden="false" customHeight="false" outlineLevel="0" collapsed="false">
      <c r="A191" s="21" t="n">
        <v>190</v>
      </c>
      <c r="B191" s="22" t="n">
        <f aca="false">MAX(0,I190)</f>
        <v>0</v>
      </c>
      <c r="C191" s="22" t="n">
        <f aca="false">IF(B191&lt;=0,0,IF(A191='Loan Calculator'!B12,MIN('Loan Calculator'!B11,B191),0)+IF(A191='Loan Calculator'!B14,MIN('Loan Calculator'!B13,B191),0))</f>
        <v>0</v>
      </c>
      <c r="D191" s="22" t="n">
        <f aca="false">IF(B191&lt;=0,0,'Loan Calculator'!B4)</f>
        <v>0</v>
      </c>
      <c r="E191" s="22" t="n">
        <f aca="false">IF(B191&lt;=0,0,IF(A191&gt;='Loan Calculator'!B18,'Loan Calculator'!B17,0)+IF(A191&gt;='Loan Calculator'!B20,'Loan Calculator'!B19,0)+IF(A191&gt;='Loan Calculator'!B22,'Loan Calculator'!B21,0))</f>
        <v>0</v>
      </c>
      <c r="F191" s="22" t="n">
        <f aca="false">IF(B191&lt;=0,0,MIN(D191+E191,(B191-C191)*(1+'Loan Calculator'!B7)))</f>
        <v>0</v>
      </c>
      <c r="G191" s="22" t="n">
        <f aca="false">IF(B191&lt;=0,0,MAX(0,(B191-C191)*'Loan Calculator'!B7))</f>
        <v>0</v>
      </c>
      <c r="H191" s="22" t="n">
        <f aca="false">IF(B191&lt;=0,0,F191-G191)</f>
        <v>0</v>
      </c>
      <c r="I191" s="22" t="n">
        <f aca="false">IF(B191&lt;=0,0,MAX(0,B191-C191-H191))</f>
        <v>0</v>
      </c>
      <c r="J191" s="22" t="n">
        <f aca="false">J190+G191</f>
        <v>1973.65586085751</v>
      </c>
    </row>
    <row r="192" customFormat="false" ht="15" hidden="false" customHeight="false" outlineLevel="0" collapsed="false">
      <c r="A192" s="18" t="n">
        <v>191</v>
      </c>
      <c r="B192" s="19" t="n">
        <f aca="false">MAX(0,I191)</f>
        <v>0</v>
      </c>
      <c r="C192" s="19" t="n">
        <f aca="false">IF(B192&lt;=0,0,IF(A192='Loan Calculator'!B12,MIN('Loan Calculator'!B11,B192),0)+IF(A192='Loan Calculator'!B14,MIN('Loan Calculator'!B13,B192),0))</f>
        <v>0</v>
      </c>
      <c r="D192" s="19" t="n">
        <f aca="false">IF(B192&lt;=0,0,'Loan Calculator'!B4)</f>
        <v>0</v>
      </c>
      <c r="E192" s="19" t="n">
        <f aca="false">IF(B192&lt;=0,0,IF(A192&gt;='Loan Calculator'!B18,'Loan Calculator'!B17,0)+IF(A192&gt;='Loan Calculator'!B20,'Loan Calculator'!B19,0)+IF(A192&gt;='Loan Calculator'!B22,'Loan Calculator'!B21,0))</f>
        <v>0</v>
      </c>
      <c r="F192" s="19" t="n">
        <f aca="false">IF(B192&lt;=0,0,MIN(D192+E192,(B192-C192)*(1+'Loan Calculator'!B7)))</f>
        <v>0</v>
      </c>
      <c r="G192" s="19" t="n">
        <f aca="false">IF(B192&lt;=0,0,MAX(0,(B192-C192)*'Loan Calculator'!B7))</f>
        <v>0</v>
      </c>
      <c r="H192" s="19" t="n">
        <f aca="false">IF(B192&lt;=0,0,F192-G192)</f>
        <v>0</v>
      </c>
      <c r="I192" s="19" t="n">
        <f aca="false">IF(B192&lt;=0,0,MAX(0,B192-C192-H192))</f>
        <v>0</v>
      </c>
      <c r="J192" s="19" t="n">
        <f aca="false">J191+G192</f>
        <v>1973.65586085751</v>
      </c>
    </row>
    <row r="193" customFormat="false" ht="15" hidden="false" customHeight="false" outlineLevel="0" collapsed="false">
      <c r="A193" s="21" t="n">
        <v>192</v>
      </c>
      <c r="B193" s="22" t="n">
        <f aca="false">MAX(0,I192)</f>
        <v>0</v>
      </c>
      <c r="C193" s="22" t="n">
        <f aca="false">IF(B193&lt;=0,0,IF(A193='Loan Calculator'!B12,MIN('Loan Calculator'!B11,B193),0)+IF(A193='Loan Calculator'!B14,MIN('Loan Calculator'!B13,B193),0))</f>
        <v>0</v>
      </c>
      <c r="D193" s="22" t="n">
        <f aca="false">IF(B193&lt;=0,0,'Loan Calculator'!B4)</f>
        <v>0</v>
      </c>
      <c r="E193" s="22" t="n">
        <f aca="false">IF(B193&lt;=0,0,IF(A193&gt;='Loan Calculator'!B18,'Loan Calculator'!B17,0)+IF(A193&gt;='Loan Calculator'!B20,'Loan Calculator'!B19,0)+IF(A193&gt;='Loan Calculator'!B22,'Loan Calculator'!B21,0))</f>
        <v>0</v>
      </c>
      <c r="F193" s="22" t="n">
        <f aca="false">IF(B193&lt;=0,0,MIN(D193+E193,(B193-C193)*(1+'Loan Calculator'!B7)))</f>
        <v>0</v>
      </c>
      <c r="G193" s="22" t="n">
        <f aca="false">IF(B193&lt;=0,0,MAX(0,(B193-C193)*'Loan Calculator'!B7))</f>
        <v>0</v>
      </c>
      <c r="H193" s="22" t="n">
        <f aca="false">IF(B193&lt;=0,0,F193-G193)</f>
        <v>0</v>
      </c>
      <c r="I193" s="22" t="n">
        <f aca="false">IF(B193&lt;=0,0,MAX(0,B193-C193-H193))</f>
        <v>0</v>
      </c>
      <c r="J193" s="22" t="n">
        <f aca="false">J192+G193</f>
        <v>1973.65586085751</v>
      </c>
    </row>
    <row r="194" customFormat="false" ht="15" hidden="false" customHeight="false" outlineLevel="0" collapsed="false">
      <c r="A194" s="18" t="n">
        <v>193</v>
      </c>
      <c r="B194" s="19" t="n">
        <f aca="false">MAX(0,I193)</f>
        <v>0</v>
      </c>
      <c r="C194" s="19" t="n">
        <f aca="false">IF(B194&lt;=0,0,IF(A194='Loan Calculator'!B12,MIN('Loan Calculator'!B11,B194),0)+IF(A194='Loan Calculator'!B14,MIN('Loan Calculator'!B13,B194),0))</f>
        <v>0</v>
      </c>
      <c r="D194" s="19" t="n">
        <f aca="false">IF(B194&lt;=0,0,'Loan Calculator'!B4)</f>
        <v>0</v>
      </c>
      <c r="E194" s="19" t="n">
        <f aca="false">IF(B194&lt;=0,0,IF(A194&gt;='Loan Calculator'!B18,'Loan Calculator'!B17,0)+IF(A194&gt;='Loan Calculator'!B20,'Loan Calculator'!B19,0)+IF(A194&gt;='Loan Calculator'!B22,'Loan Calculator'!B21,0))</f>
        <v>0</v>
      </c>
      <c r="F194" s="19" t="n">
        <f aca="false">IF(B194&lt;=0,0,MIN(D194+E194,(B194-C194)*(1+'Loan Calculator'!B7)))</f>
        <v>0</v>
      </c>
      <c r="G194" s="19" t="n">
        <f aca="false">IF(B194&lt;=0,0,MAX(0,(B194-C194)*'Loan Calculator'!B7))</f>
        <v>0</v>
      </c>
      <c r="H194" s="19" t="n">
        <f aca="false">IF(B194&lt;=0,0,F194-G194)</f>
        <v>0</v>
      </c>
      <c r="I194" s="19" t="n">
        <f aca="false">IF(B194&lt;=0,0,MAX(0,B194-C194-H194))</f>
        <v>0</v>
      </c>
      <c r="J194" s="19" t="n">
        <f aca="false">J193+G194</f>
        <v>1973.65586085751</v>
      </c>
    </row>
    <row r="195" customFormat="false" ht="15" hidden="false" customHeight="false" outlineLevel="0" collapsed="false">
      <c r="A195" s="21" t="n">
        <v>194</v>
      </c>
      <c r="B195" s="22" t="n">
        <f aca="false">MAX(0,I194)</f>
        <v>0</v>
      </c>
      <c r="C195" s="22" t="n">
        <f aca="false">IF(B195&lt;=0,0,IF(A195='Loan Calculator'!B12,MIN('Loan Calculator'!B11,B195),0)+IF(A195='Loan Calculator'!B14,MIN('Loan Calculator'!B13,B195),0))</f>
        <v>0</v>
      </c>
      <c r="D195" s="22" t="n">
        <f aca="false">IF(B195&lt;=0,0,'Loan Calculator'!B4)</f>
        <v>0</v>
      </c>
      <c r="E195" s="22" t="n">
        <f aca="false">IF(B195&lt;=0,0,IF(A195&gt;='Loan Calculator'!B18,'Loan Calculator'!B17,0)+IF(A195&gt;='Loan Calculator'!B20,'Loan Calculator'!B19,0)+IF(A195&gt;='Loan Calculator'!B22,'Loan Calculator'!B21,0))</f>
        <v>0</v>
      </c>
      <c r="F195" s="22" t="n">
        <f aca="false">IF(B195&lt;=0,0,MIN(D195+E195,(B195-C195)*(1+'Loan Calculator'!B7)))</f>
        <v>0</v>
      </c>
      <c r="G195" s="22" t="n">
        <f aca="false">IF(B195&lt;=0,0,MAX(0,(B195-C195)*'Loan Calculator'!B7))</f>
        <v>0</v>
      </c>
      <c r="H195" s="22" t="n">
        <f aca="false">IF(B195&lt;=0,0,F195-G195)</f>
        <v>0</v>
      </c>
      <c r="I195" s="22" t="n">
        <f aca="false">IF(B195&lt;=0,0,MAX(0,B195-C195-H195))</f>
        <v>0</v>
      </c>
      <c r="J195" s="22" t="n">
        <f aca="false">J194+G195</f>
        <v>1973.65586085751</v>
      </c>
    </row>
    <row r="196" customFormat="false" ht="15" hidden="false" customHeight="false" outlineLevel="0" collapsed="false">
      <c r="A196" s="18" t="n">
        <v>195</v>
      </c>
      <c r="B196" s="19" t="n">
        <f aca="false">MAX(0,I195)</f>
        <v>0</v>
      </c>
      <c r="C196" s="19" t="n">
        <f aca="false">IF(B196&lt;=0,0,IF(A196='Loan Calculator'!B12,MIN('Loan Calculator'!B11,B196),0)+IF(A196='Loan Calculator'!B14,MIN('Loan Calculator'!B13,B196),0))</f>
        <v>0</v>
      </c>
      <c r="D196" s="19" t="n">
        <f aca="false">IF(B196&lt;=0,0,'Loan Calculator'!B4)</f>
        <v>0</v>
      </c>
      <c r="E196" s="19" t="n">
        <f aca="false">IF(B196&lt;=0,0,IF(A196&gt;='Loan Calculator'!B18,'Loan Calculator'!B17,0)+IF(A196&gt;='Loan Calculator'!B20,'Loan Calculator'!B19,0)+IF(A196&gt;='Loan Calculator'!B22,'Loan Calculator'!B21,0))</f>
        <v>0</v>
      </c>
      <c r="F196" s="19" t="n">
        <f aca="false">IF(B196&lt;=0,0,MIN(D196+E196,(B196-C196)*(1+'Loan Calculator'!B7)))</f>
        <v>0</v>
      </c>
      <c r="G196" s="19" t="n">
        <f aca="false">IF(B196&lt;=0,0,MAX(0,(B196-C196)*'Loan Calculator'!B7))</f>
        <v>0</v>
      </c>
      <c r="H196" s="19" t="n">
        <f aca="false">IF(B196&lt;=0,0,F196-G196)</f>
        <v>0</v>
      </c>
      <c r="I196" s="19" t="n">
        <f aca="false">IF(B196&lt;=0,0,MAX(0,B196-C196-H196))</f>
        <v>0</v>
      </c>
      <c r="J196" s="19" t="n">
        <f aca="false">J195+G196</f>
        <v>1973.65586085751</v>
      </c>
    </row>
    <row r="197" customFormat="false" ht="15" hidden="false" customHeight="false" outlineLevel="0" collapsed="false">
      <c r="A197" s="21" t="n">
        <v>196</v>
      </c>
      <c r="B197" s="22" t="n">
        <f aca="false">MAX(0,I196)</f>
        <v>0</v>
      </c>
      <c r="C197" s="22" t="n">
        <f aca="false">IF(B197&lt;=0,0,IF(A197='Loan Calculator'!B12,MIN('Loan Calculator'!B11,B197),0)+IF(A197='Loan Calculator'!B14,MIN('Loan Calculator'!B13,B197),0))</f>
        <v>0</v>
      </c>
      <c r="D197" s="22" t="n">
        <f aca="false">IF(B197&lt;=0,0,'Loan Calculator'!B4)</f>
        <v>0</v>
      </c>
      <c r="E197" s="22" t="n">
        <f aca="false">IF(B197&lt;=0,0,IF(A197&gt;='Loan Calculator'!B18,'Loan Calculator'!B17,0)+IF(A197&gt;='Loan Calculator'!B20,'Loan Calculator'!B19,0)+IF(A197&gt;='Loan Calculator'!B22,'Loan Calculator'!B21,0))</f>
        <v>0</v>
      </c>
      <c r="F197" s="22" t="n">
        <f aca="false">IF(B197&lt;=0,0,MIN(D197+E197,(B197-C197)*(1+'Loan Calculator'!B7)))</f>
        <v>0</v>
      </c>
      <c r="G197" s="22" t="n">
        <f aca="false">IF(B197&lt;=0,0,MAX(0,(B197-C197)*'Loan Calculator'!B7))</f>
        <v>0</v>
      </c>
      <c r="H197" s="22" t="n">
        <f aca="false">IF(B197&lt;=0,0,F197-G197)</f>
        <v>0</v>
      </c>
      <c r="I197" s="22" t="n">
        <f aca="false">IF(B197&lt;=0,0,MAX(0,B197-C197-H197))</f>
        <v>0</v>
      </c>
      <c r="J197" s="22" t="n">
        <f aca="false">J196+G197</f>
        <v>1973.65586085751</v>
      </c>
    </row>
    <row r="198" customFormat="false" ht="15" hidden="false" customHeight="false" outlineLevel="0" collapsed="false">
      <c r="A198" s="18" t="n">
        <v>197</v>
      </c>
      <c r="B198" s="19" t="n">
        <f aca="false">MAX(0,I197)</f>
        <v>0</v>
      </c>
      <c r="C198" s="19" t="n">
        <f aca="false">IF(B198&lt;=0,0,IF(A198='Loan Calculator'!B12,MIN('Loan Calculator'!B11,B198),0)+IF(A198='Loan Calculator'!B14,MIN('Loan Calculator'!B13,B198),0))</f>
        <v>0</v>
      </c>
      <c r="D198" s="19" t="n">
        <f aca="false">IF(B198&lt;=0,0,'Loan Calculator'!B4)</f>
        <v>0</v>
      </c>
      <c r="E198" s="19" t="n">
        <f aca="false">IF(B198&lt;=0,0,IF(A198&gt;='Loan Calculator'!B18,'Loan Calculator'!B17,0)+IF(A198&gt;='Loan Calculator'!B20,'Loan Calculator'!B19,0)+IF(A198&gt;='Loan Calculator'!B22,'Loan Calculator'!B21,0))</f>
        <v>0</v>
      </c>
      <c r="F198" s="19" t="n">
        <f aca="false">IF(B198&lt;=0,0,MIN(D198+E198,(B198-C198)*(1+'Loan Calculator'!B7)))</f>
        <v>0</v>
      </c>
      <c r="G198" s="19" t="n">
        <f aca="false">IF(B198&lt;=0,0,MAX(0,(B198-C198)*'Loan Calculator'!B7))</f>
        <v>0</v>
      </c>
      <c r="H198" s="19" t="n">
        <f aca="false">IF(B198&lt;=0,0,F198-G198)</f>
        <v>0</v>
      </c>
      <c r="I198" s="19" t="n">
        <f aca="false">IF(B198&lt;=0,0,MAX(0,B198-C198-H198))</f>
        <v>0</v>
      </c>
      <c r="J198" s="19" t="n">
        <f aca="false">J197+G198</f>
        <v>1973.65586085751</v>
      </c>
    </row>
    <row r="199" customFormat="false" ht="15" hidden="false" customHeight="false" outlineLevel="0" collapsed="false">
      <c r="A199" s="21" t="n">
        <v>198</v>
      </c>
      <c r="B199" s="22" t="n">
        <f aca="false">MAX(0,I198)</f>
        <v>0</v>
      </c>
      <c r="C199" s="22" t="n">
        <f aca="false">IF(B199&lt;=0,0,IF(A199='Loan Calculator'!B12,MIN('Loan Calculator'!B11,B199),0)+IF(A199='Loan Calculator'!B14,MIN('Loan Calculator'!B13,B199),0))</f>
        <v>0</v>
      </c>
      <c r="D199" s="22" t="n">
        <f aca="false">IF(B199&lt;=0,0,'Loan Calculator'!B4)</f>
        <v>0</v>
      </c>
      <c r="E199" s="22" t="n">
        <f aca="false">IF(B199&lt;=0,0,IF(A199&gt;='Loan Calculator'!B18,'Loan Calculator'!B17,0)+IF(A199&gt;='Loan Calculator'!B20,'Loan Calculator'!B19,0)+IF(A199&gt;='Loan Calculator'!B22,'Loan Calculator'!B21,0))</f>
        <v>0</v>
      </c>
      <c r="F199" s="22" t="n">
        <f aca="false">IF(B199&lt;=0,0,MIN(D199+E199,(B199-C199)*(1+'Loan Calculator'!B7)))</f>
        <v>0</v>
      </c>
      <c r="G199" s="22" t="n">
        <f aca="false">IF(B199&lt;=0,0,MAX(0,(B199-C199)*'Loan Calculator'!B7))</f>
        <v>0</v>
      </c>
      <c r="H199" s="22" t="n">
        <f aca="false">IF(B199&lt;=0,0,F199-G199)</f>
        <v>0</v>
      </c>
      <c r="I199" s="22" t="n">
        <f aca="false">IF(B199&lt;=0,0,MAX(0,B199-C199-H199))</f>
        <v>0</v>
      </c>
      <c r="J199" s="22" t="n">
        <f aca="false">J198+G199</f>
        <v>1973.65586085751</v>
      </c>
    </row>
    <row r="200" customFormat="false" ht="15" hidden="false" customHeight="false" outlineLevel="0" collapsed="false">
      <c r="A200" s="18" t="n">
        <v>199</v>
      </c>
      <c r="B200" s="19" t="n">
        <f aca="false">MAX(0,I199)</f>
        <v>0</v>
      </c>
      <c r="C200" s="19" t="n">
        <f aca="false">IF(B200&lt;=0,0,IF(A200='Loan Calculator'!B12,MIN('Loan Calculator'!B11,B200),0)+IF(A200='Loan Calculator'!B14,MIN('Loan Calculator'!B13,B200),0))</f>
        <v>0</v>
      </c>
      <c r="D200" s="19" t="n">
        <f aca="false">IF(B200&lt;=0,0,'Loan Calculator'!B4)</f>
        <v>0</v>
      </c>
      <c r="E200" s="19" t="n">
        <f aca="false">IF(B200&lt;=0,0,IF(A200&gt;='Loan Calculator'!B18,'Loan Calculator'!B17,0)+IF(A200&gt;='Loan Calculator'!B20,'Loan Calculator'!B19,0)+IF(A200&gt;='Loan Calculator'!B22,'Loan Calculator'!B21,0))</f>
        <v>0</v>
      </c>
      <c r="F200" s="19" t="n">
        <f aca="false">IF(B200&lt;=0,0,MIN(D200+E200,(B200-C200)*(1+'Loan Calculator'!B7)))</f>
        <v>0</v>
      </c>
      <c r="G200" s="19" t="n">
        <f aca="false">IF(B200&lt;=0,0,MAX(0,(B200-C200)*'Loan Calculator'!B7))</f>
        <v>0</v>
      </c>
      <c r="H200" s="19" t="n">
        <f aca="false">IF(B200&lt;=0,0,F200-G200)</f>
        <v>0</v>
      </c>
      <c r="I200" s="19" t="n">
        <f aca="false">IF(B200&lt;=0,0,MAX(0,B200-C200-H200))</f>
        <v>0</v>
      </c>
      <c r="J200" s="19" t="n">
        <f aca="false">J199+G200</f>
        <v>1973.65586085751</v>
      </c>
    </row>
    <row r="201" customFormat="false" ht="15" hidden="false" customHeight="false" outlineLevel="0" collapsed="false">
      <c r="A201" s="21" t="n">
        <v>200</v>
      </c>
      <c r="B201" s="22" t="n">
        <f aca="false">MAX(0,I200)</f>
        <v>0</v>
      </c>
      <c r="C201" s="22" t="n">
        <f aca="false">IF(B201&lt;=0,0,IF(A201='Loan Calculator'!B12,MIN('Loan Calculator'!B11,B201),0)+IF(A201='Loan Calculator'!B14,MIN('Loan Calculator'!B13,B201),0))</f>
        <v>0</v>
      </c>
      <c r="D201" s="22" t="n">
        <f aca="false">IF(B201&lt;=0,0,'Loan Calculator'!B4)</f>
        <v>0</v>
      </c>
      <c r="E201" s="22" t="n">
        <f aca="false">IF(B201&lt;=0,0,IF(A201&gt;='Loan Calculator'!B18,'Loan Calculator'!B17,0)+IF(A201&gt;='Loan Calculator'!B20,'Loan Calculator'!B19,0)+IF(A201&gt;='Loan Calculator'!B22,'Loan Calculator'!B21,0))</f>
        <v>0</v>
      </c>
      <c r="F201" s="22" t="n">
        <f aca="false">IF(B201&lt;=0,0,MIN(D201+E201,(B201-C201)*(1+'Loan Calculator'!B7)))</f>
        <v>0</v>
      </c>
      <c r="G201" s="22" t="n">
        <f aca="false">IF(B201&lt;=0,0,MAX(0,(B201-C201)*'Loan Calculator'!B7))</f>
        <v>0</v>
      </c>
      <c r="H201" s="22" t="n">
        <f aca="false">IF(B201&lt;=0,0,F201-G201)</f>
        <v>0</v>
      </c>
      <c r="I201" s="22" t="n">
        <f aca="false">IF(B201&lt;=0,0,MAX(0,B201-C201-H201))</f>
        <v>0</v>
      </c>
      <c r="J201" s="22" t="n">
        <f aca="false">J200+G201</f>
        <v>1973.65586085751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6"/>
  </cols>
  <sheetData>
    <row r="1" customFormat="false" ht="26.85" hidden="false" customHeight="false" outlineLevel="0" collapsed="false">
      <c r="A1" s="24" t="s">
        <v>41</v>
      </c>
      <c r="B1" s="24" t="s">
        <v>42</v>
      </c>
      <c r="C1" s="24" t="s">
        <v>44</v>
      </c>
      <c r="D1" s="24" t="s">
        <v>47</v>
      </c>
      <c r="E1" s="24" t="s">
        <v>48</v>
      </c>
      <c r="F1" s="24" t="s">
        <v>49</v>
      </c>
      <c r="G1" s="24" t="s">
        <v>50</v>
      </c>
    </row>
    <row r="2" customFormat="false" ht="15" hidden="false" customHeight="false" outlineLevel="0" collapsed="false">
      <c r="A2" s="18" t="n">
        <v>1</v>
      </c>
      <c r="B2" s="19" t="n">
        <f aca="false">'Loan Calculator'!B2</f>
        <v>36890</v>
      </c>
      <c r="C2" s="19" t="n">
        <f aca="false">IF(B2&lt;=0,0,MIN('Loan Calculator'!B4,B2*(1+'Loan Calculator'!B7)))</f>
        <v>365.72</v>
      </c>
      <c r="D2" s="19" t="n">
        <f aca="false">IF(B2&lt;=0,0,B2*'Loan Calculator'!B7)</f>
        <v>85.1307692307692</v>
      </c>
      <c r="E2" s="19" t="n">
        <f aca="false">IF(B2&lt;=0,0,C2-D2)</f>
        <v>280.589230769231</v>
      </c>
      <c r="F2" s="19" t="n">
        <f aca="false">IF(B2&lt;=0,0,MAX(0,B2-E2))</f>
        <v>36609.4107692308</v>
      </c>
      <c r="G2" s="19" t="n">
        <f aca="false">D2</f>
        <v>85.1307692307692</v>
      </c>
      <c r="I2" s="0" t="s">
        <v>52</v>
      </c>
      <c r="J2" s="20" t="n">
        <f aca="false">COUNTIF(B2:B201,"&gt;"&amp;0)</f>
        <v>115</v>
      </c>
    </row>
    <row r="3" customFormat="false" ht="15" hidden="false" customHeight="false" outlineLevel="0" collapsed="false">
      <c r="A3" s="21" t="n">
        <v>2</v>
      </c>
      <c r="B3" s="22" t="n">
        <f aca="false">MAX(0,F2)</f>
        <v>36609.4107692308</v>
      </c>
      <c r="C3" s="22" t="n">
        <f aca="false">IF(B3&lt;=0,0,MIN('Loan Calculator'!B4,B3*(1+'Loan Calculator'!B7)))</f>
        <v>365.72</v>
      </c>
      <c r="D3" s="22" t="n">
        <f aca="false">IF(B3&lt;=0,0,B3*'Loan Calculator'!B7)</f>
        <v>84.4832556213018</v>
      </c>
      <c r="E3" s="22" t="n">
        <f aca="false">IF(B3&lt;=0,0,C3-D3)</f>
        <v>281.236744378698</v>
      </c>
      <c r="F3" s="22" t="n">
        <f aca="false">IF(B3&lt;=0,0,MAX(0,B3-E3))</f>
        <v>36328.1740248521</v>
      </c>
      <c r="G3" s="22" t="n">
        <f aca="false">G2+D3</f>
        <v>169.614024852071</v>
      </c>
      <c r="I3" s="0" t="s">
        <v>53</v>
      </c>
      <c r="J3" s="23" t="n">
        <f aca="false">SUM(D2:D201)</f>
        <v>5151.53180720265</v>
      </c>
    </row>
    <row r="4" customFormat="false" ht="15" hidden="false" customHeight="false" outlineLevel="0" collapsed="false">
      <c r="A4" s="18" t="n">
        <v>3</v>
      </c>
      <c r="B4" s="19" t="n">
        <f aca="false">MAX(0,F3)</f>
        <v>36328.1740248521</v>
      </c>
      <c r="C4" s="19" t="n">
        <f aca="false">IF(B4&lt;=0,0,MIN('Loan Calculator'!B4,B4*(1+'Loan Calculator'!B7)))</f>
        <v>365.72</v>
      </c>
      <c r="D4" s="19" t="n">
        <f aca="false">IF(B4&lt;=0,0,B4*'Loan Calculator'!B7)</f>
        <v>83.8342477496586</v>
      </c>
      <c r="E4" s="19" t="n">
        <f aca="false">IF(B4&lt;=0,0,C4-D4)</f>
        <v>281.885752250341</v>
      </c>
      <c r="F4" s="19" t="n">
        <f aca="false">IF(B4&lt;=0,0,MAX(0,B4-E4))</f>
        <v>36046.2882726017</v>
      </c>
      <c r="G4" s="19" t="n">
        <f aca="false">G3+D4</f>
        <v>253.44827260173</v>
      </c>
      <c r="I4" s="0" t="s">
        <v>54</v>
      </c>
      <c r="J4" s="23" t="n">
        <f aca="false">SUM(C2:C201)</f>
        <v>42041.5318072026</v>
      </c>
    </row>
    <row r="5" customFormat="false" ht="15" hidden="false" customHeight="false" outlineLevel="0" collapsed="false">
      <c r="A5" s="21" t="n">
        <v>4</v>
      </c>
      <c r="B5" s="22" t="n">
        <f aca="false">MAX(0,F4)</f>
        <v>36046.2882726017</v>
      </c>
      <c r="C5" s="22" t="n">
        <f aca="false">IF(B5&lt;=0,0,MIN('Loan Calculator'!B4,B5*(1+'Loan Calculator'!B7)))</f>
        <v>365.72</v>
      </c>
      <c r="D5" s="22" t="n">
        <f aca="false">IF(B5&lt;=0,0,B5*'Loan Calculator'!B7)</f>
        <v>83.1837421675424</v>
      </c>
      <c r="E5" s="22" t="n">
        <f aca="false">IF(B5&lt;=0,0,C5-D5)</f>
        <v>282.536257832458</v>
      </c>
      <c r="F5" s="22" t="n">
        <f aca="false">IF(B5&lt;=0,0,MAX(0,B5-E5))</f>
        <v>35763.7520147693</v>
      </c>
      <c r="G5" s="22" t="n">
        <f aca="false">G4+D5</f>
        <v>336.632014769272</v>
      </c>
    </row>
    <row r="6" customFormat="false" ht="15" hidden="false" customHeight="false" outlineLevel="0" collapsed="false">
      <c r="A6" s="18" t="n">
        <v>5</v>
      </c>
      <c r="B6" s="19" t="n">
        <f aca="false">MAX(0,F5)</f>
        <v>35763.7520147693</v>
      </c>
      <c r="C6" s="19" t="n">
        <f aca="false">IF(B6&lt;=0,0,MIN('Loan Calculator'!B4,B6*(1+'Loan Calculator'!B7)))</f>
        <v>365.72</v>
      </c>
      <c r="D6" s="19" t="n">
        <f aca="false">IF(B6&lt;=0,0,B6*'Loan Calculator'!B7)</f>
        <v>82.5317354186983</v>
      </c>
      <c r="E6" s="19" t="n">
        <f aca="false">IF(B6&lt;=0,0,C6-D6)</f>
        <v>283.188264581302</v>
      </c>
      <c r="F6" s="19" t="n">
        <f aca="false">IF(B6&lt;=0,0,MAX(0,B6-E6))</f>
        <v>35480.563750188</v>
      </c>
      <c r="G6" s="19" t="n">
        <f aca="false">G5+D6</f>
        <v>419.16375018797</v>
      </c>
    </row>
    <row r="7" customFormat="false" ht="15" hidden="false" customHeight="false" outlineLevel="0" collapsed="false">
      <c r="A7" s="21" t="n">
        <v>6</v>
      </c>
      <c r="B7" s="22" t="n">
        <f aca="false">MAX(0,F6)</f>
        <v>35480.563750188</v>
      </c>
      <c r="C7" s="22" t="n">
        <f aca="false">IF(B7&lt;=0,0,MIN('Loan Calculator'!B4,B7*(1+'Loan Calculator'!B7)))</f>
        <v>365.72</v>
      </c>
      <c r="D7" s="22" t="n">
        <f aca="false">IF(B7&lt;=0,0,B7*'Loan Calculator'!B7)</f>
        <v>81.8782240388953</v>
      </c>
      <c r="E7" s="22" t="n">
        <f aca="false">IF(B7&lt;=0,0,C7-D7)</f>
        <v>283.841775961105</v>
      </c>
      <c r="F7" s="22" t="n">
        <f aca="false">IF(B7&lt;=0,0,MAX(0,B7-E7))</f>
        <v>35196.7219742269</v>
      </c>
      <c r="G7" s="22" t="n">
        <f aca="false">G6+D7</f>
        <v>501.041974226866</v>
      </c>
    </row>
    <row r="8" customFormat="false" ht="15" hidden="false" customHeight="false" outlineLevel="0" collapsed="false">
      <c r="A8" s="18" t="n">
        <v>7</v>
      </c>
      <c r="B8" s="19" t="n">
        <f aca="false">MAX(0,F7)</f>
        <v>35196.7219742269</v>
      </c>
      <c r="C8" s="19" t="n">
        <f aca="false">IF(B8&lt;=0,0,MIN('Loan Calculator'!B4,B8*(1+'Loan Calculator'!B7)))</f>
        <v>365.72</v>
      </c>
      <c r="D8" s="19" t="n">
        <f aca="false">IF(B8&lt;=0,0,B8*'Loan Calculator'!B7)</f>
        <v>81.2232045559081</v>
      </c>
      <c r="E8" s="19" t="n">
        <f aca="false">IF(B8&lt;=0,0,C8-D8)</f>
        <v>284.496795444092</v>
      </c>
      <c r="F8" s="19" t="n">
        <f aca="false">IF(B8&lt;=0,0,MAX(0,B8-E8))</f>
        <v>34912.2251787828</v>
      </c>
      <c r="G8" s="19" t="n">
        <f aca="false">G7+D8</f>
        <v>582.265178782774</v>
      </c>
    </row>
    <row r="9" customFormat="false" ht="15" hidden="false" customHeight="false" outlineLevel="0" collapsed="false">
      <c r="A9" s="21" t="n">
        <v>8</v>
      </c>
      <c r="B9" s="22" t="n">
        <f aca="false">MAX(0,F8)</f>
        <v>34912.2251787828</v>
      </c>
      <c r="C9" s="22" t="n">
        <f aca="false">IF(B9&lt;=0,0,MIN('Loan Calculator'!B4,B9*(1+'Loan Calculator'!B7)))</f>
        <v>365.72</v>
      </c>
      <c r="D9" s="22" t="n">
        <f aca="false">IF(B9&lt;=0,0,B9*'Loan Calculator'!B7)</f>
        <v>80.5666734894987</v>
      </c>
      <c r="E9" s="22" t="n">
        <f aca="false">IF(B9&lt;=0,0,C9-D9)</f>
        <v>285.153326510501</v>
      </c>
      <c r="F9" s="22" t="n">
        <f aca="false">IF(B9&lt;=0,0,MAX(0,B9-E9))</f>
        <v>34627.0718522723</v>
      </c>
      <c r="G9" s="22" t="n">
        <f aca="false">G8+D9</f>
        <v>662.831852272273</v>
      </c>
    </row>
    <row r="10" customFormat="false" ht="15" hidden="false" customHeight="false" outlineLevel="0" collapsed="false">
      <c r="A10" s="18" t="n">
        <v>9</v>
      </c>
      <c r="B10" s="19" t="n">
        <f aca="false">MAX(0,F9)</f>
        <v>34627.0718522723</v>
      </c>
      <c r="C10" s="19" t="n">
        <f aca="false">IF(B10&lt;=0,0,MIN('Loan Calculator'!B4,B10*(1+'Loan Calculator'!B7)))</f>
        <v>365.72</v>
      </c>
      <c r="D10" s="19" t="n">
        <f aca="false">IF(B10&lt;=0,0,B10*'Loan Calculator'!B7)</f>
        <v>79.9086273513975</v>
      </c>
      <c r="E10" s="19" t="n">
        <f aca="false">IF(B10&lt;=0,0,C10-D10)</f>
        <v>285.811372648603</v>
      </c>
      <c r="F10" s="19" t="n">
        <f aca="false">IF(B10&lt;=0,0,MAX(0,B10-E10))</f>
        <v>34341.2604796237</v>
      </c>
      <c r="G10" s="19" t="n">
        <f aca="false">G9+D10</f>
        <v>742.74047962367</v>
      </c>
    </row>
    <row r="11" customFormat="false" ht="15" hidden="false" customHeight="false" outlineLevel="0" collapsed="false">
      <c r="A11" s="21" t="n">
        <v>10</v>
      </c>
      <c r="B11" s="22" t="n">
        <f aca="false">MAX(0,F10)</f>
        <v>34341.2604796237</v>
      </c>
      <c r="C11" s="22" t="n">
        <f aca="false">IF(B11&lt;=0,0,MIN('Loan Calculator'!B4,B11*(1+'Loan Calculator'!B7)))</f>
        <v>365.72</v>
      </c>
      <c r="D11" s="22" t="n">
        <f aca="false">IF(B11&lt;=0,0,B11*'Loan Calculator'!B7)</f>
        <v>79.2490626452854</v>
      </c>
      <c r="E11" s="22" t="n">
        <f aca="false">IF(B11&lt;=0,0,C11-D11)</f>
        <v>286.470937354715</v>
      </c>
      <c r="F11" s="22" t="n">
        <f aca="false">IF(B11&lt;=0,0,MAX(0,B11-E11))</f>
        <v>34054.789542269</v>
      </c>
      <c r="G11" s="22" t="n">
        <f aca="false">G10+D11</f>
        <v>821.989542268955</v>
      </c>
    </row>
    <row r="12" customFormat="false" ht="15" hidden="false" customHeight="false" outlineLevel="0" collapsed="false">
      <c r="A12" s="18" t="n">
        <v>11</v>
      </c>
      <c r="B12" s="19" t="n">
        <f aca="false">MAX(0,F11)</f>
        <v>34054.789542269</v>
      </c>
      <c r="C12" s="19" t="n">
        <f aca="false">IF(B12&lt;=0,0,MIN('Loan Calculator'!B4,B12*(1+'Loan Calculator'!B7)))</f>
        <v>365.72</v>
      </c>
      <c r="D12" s="19" t="n">
        <f aca="false">IF(B12&lt;=0,0,B12*'Loan Calculator'!B7)</f>
        <v>78.5879758667745</v>
      </c>
      <c r="E12" s="19" t="n">
        <f aca="false">IF(B12&lt;=0,0,C12-D12)</f>
        <v>287.132024133226</v>
      </c>
      <c r="F12" s="19" t="n">
        <f aca="false">IF(B12&lt;=0,0,MAX(0,B12-E12))</f>
        <v>33767.6575181357</v>
      </c>
      <c r="G12" s="19" t="n">
        <f aca="false">G11+D12</f>
        <v>900.57751813573</v>
      </c>
    </row>
    <row r="13" customFormat="false" ht="15" hidden="false" customHeight="false" outlineLevel="0" collapsed="false">
      <c r="A13" s="21" t="n">
        <v>12</v>
      </c>
      <c r="B13" s="22" t="n">
        <f aca="false">MAX(0,F12)</f>
        <v>33767.6575181357</v>
      </c>
      <c r="C13" s="22" t="n">
        <f aca="false">IF(B13&lt;=0,0,MIN('Loan Calculator'!B4,B13*(1+'Loan Calculator'!B7)))</f>
        <v>365.72</v>
      </c>
      <c r="D13" s="22" t="n">
        <f aca="false">IF(B13&lt;=0,0,B13*'Loan Calculator'!B7)</f>
        <v>77.9253635033901</v>
      </c>
      <c r="E13" s="22" t="n">
        <f aca="false">IF(B13&lt;=0,0,C13-D13)</f>
        <v>287.79463649661</v>
      </c>
      <c r="F13" s="22" t="n">
        <f aca="false">IF(B13&lt;=0,0,MAX(0,B13-E13))</f>
        <v>33479.8628816391</v>
      </c>
      <c r="G13" s="22" t="n">
        <f aca="false">G12+D13</f>
        <v>978.50288163912</v>
      </c>
    </row>
    <row r="14" customFormat="false" ht="15" hidden="false" customHeight="false" outlineLevel="0" collapsed="false">
      <c r="A14" s="18" t="n">
        <v>13</v>
      </c>
      <c r="B14" s="19" t="n">
        <f aca="false">MAX(0,F13)</f>
        <v>33479.8628816391</v>
      </c>
      <c r="C14" s="19" t="n">
        <f aca="false">IF(B14&lt;=0,0,MIN('Loan Calculator'!B4,B14*(1+'Loan Calculator'!B7)))</f>
        <v>365.72</v>
      </c>
      <c r="D14" s="19" t="n">
        <f aca="false">IF(B14&lt;=0,0,B14*'Loan Calculator'!B7)</f>
        <v>77.2612220345518</v>
      </c>
      <c r="E14" s="19" t="n">
        <f aca="false">IF(B14&lt;=0,0,C14-D14)</f>
        <v>288.458777965448</v>
      </c>
      <c r="F14" s="19" t="n">
        <f aca="false">IF(B14&lt;=0,0,MAX(0,B14-E14))</f>
        <v>33191.4041036737</v>
      </c>
      <c r="G14" s="19" t="n">
        <f aca="false">G13+D14</f>
        <v>1055.76410367367</v>
      </c>
    </row>
    <row r="15" customFormat="false" ht="15" hidden="false" customHeight="false" outlineLevel="0" collapsed="false">
      <c r="A15" s="21" t="n">
        <v>14</v>
      </c>
      <c r="B15" s="22" t="n">
        <f aca="false">MAX(0,F14)</f>
        <v>33191.4041036737</v>
      </c>
      <c r="C15" s="22" t="n">
        <f aca="false">IF(B15&lt;=0,0,MIN('Loan Calculator'!B4,B15*(1+'Loan Calculator'!B7)))</f>
        <v>365.72</v>
      </c>
      <c r="D15" s="22" t="n">
        <f aca="false">IF(B15&lt;=0,0,B15*'Loan Calculator'!B7)</f>
        <v>76.5955479315546</v>
      </c>
      <c r="E15" s="22" t="n">
        <f aca="false">IF(B15&lt;=0,0,C15-D15)</f>
        <v>289.124452068445</v>
      </c>
      <c r="F15" s="22" t="n">
        <f aca="false">IF(B15&lt;=0,0,MAX(0,B15-E15))</f>
        <v>32902.2796516052</v>
      </c>
      <c r="G15" s="22" t="n">
        <f aca="false">G14+D15</f>
        <v>1132.35965160523</v>
      </c>
    </row>
    <row r="16" customFormat="false" ht="15" hidden="false" customHeight="false" outlineLevel="0" collapsed="false">
      <c r="A16" s="18" t="n">
        <v>15</v>
      </c>
      <c r="B16" s="19" t="n">
        <f aca="false">MAX(0,F15)</f>
        <v>32902.2796516052</v>
      </c>
      <c r="C16" s="19" t="n">
        <f aca="false">IF(B16&lt;=0,0,MIN('Loan Calculator'!B4,B16*(1+'Loan Calculator'!B7)))</f>
        <v>365.72</v>
      </c>
      <c r="D16" s="19" t="n">
        <f aca="false">IF(B16&lt;=0,0,B16*'Loan Calculator'!B7)</f>
        <v>75.9283376575505</v>
      </c>
      <c r="E16" s="19" t="n">
        <f aca="false">IF(B16&lt;=0,0,C16-D16)</f>
        <v>289.79166234245</v>
      </c>
      <c r="F16" s="19" t="n">
        <f aca="false">IF(B16&lt;=0,0,MAX(0,B16-E16))</f>
        <v>32612.4879892628</v>
      </c>
      <c r="G16" s="19" t="n">
        <f aca="false">G15+D16</f>
        <v>1208.28798926278</v>
      </c>
    </row>
    <row r="17" customFormat="false" ht="15" hidden="false" customHeight="false" outlineLevel="0" collapsed="false">
      <c r="A17" s="21" t="n">
        <v>16</v>
      </c>
      <c r="B17" s="22" t="n">
        <f aca="false">MAX(0,F16)</f>
        <v>32612.4879892628</v>
      </c>
      <c r="C17" s="22" t="n">
        <f aca="false">IF(B17&lt;=0,0,MIN('Loan Calculator'!B4,B17*(1+'Loan Calculator'!B7)))</f>
        <v>365.72</v>
      </c>
      <c r="D17" s="22" t="n">
        <f aca="false">IF(B17&lt;=0,0,B17*'Loan Calculator'!B7)</f>
        <v>75.2595876675294</v>
      </c>
      <c r="E17" s="22" t="n">
        <f aca="false">IF(B17&lt;=0,0,C17-D17)</f>
        <v>290.460412332471</v>
      </c>
      <c r="F17" s="22" t="n">
        <f aca="false">IF(B17&lt;=0,0,MAX(0,B17-E17))</f>
        <v>32322.0275769303</v>
      </c>
      <c r="G17" s="22" t="n">
        <f aca="false">G16+D17</f>
        <v>1283.54757693031</v>
      </c>
    </row>
    <row r="18" customFormat="false" ht="15" hidden="false" customHeight="false" outlineLevel="0" collapsed="false">
      <c r="A18" s="18" t="n">
        <v>17</v>
      </c>
      <c r="B18" s="19" t="n">
        <f aca="false">MAX(0,F17)</f>
        <v>32322.0275769303</v>
      </c>
      <c r="C18" s="19" t="n">
        <f aca="false">IF(B18&lt;=0,0,MIN('Loan Calculator'!B4,B18*(1+'Loan Calculator'!B7)))</f>
        <v>365.72</v>
      </c>
      <c r="D18" s="19" t="n">
        <f aca="false">IF(B18&lt;=0,0,B18*'Loan Calculator'!B7)</f>
        <v>74.5892944083007</v>
      </c>
      <c r="E18" s="19" t="n">
        <f aca="false">IF(B18&lt;=0,0,C18-D18)</f>
        <v>291.130705591699</v>
      </c>
      <c r="F18" s="19" t="n">
        <f aca="false">IF(B18&lt;=0,0,MAX(0,B18-E18))</f>
        <v>32030.8968713386</v>
      </c>
      <c r="G18" s="19" t="n">
        <f aca="false">G17+D18</f>
        <v>1358.13687133861</v>
      </c>
    </row>
    <row r="19" customFormat="false" ht="15" hidden="false" customHeight="false" outlineLevel="0" collapsed="false">
      <c r="A19" s="21" t="n">
        <v>18</v>
      </c>
      <c r="B19" s="22" t="n">
        <f aca="false">MAX(0,F18)</f>
        <v>32030.8968713386</v>
      </c>
      <c r="C19" s="22" t="n">
        <f aca="false">IF(B19&lt;=0,0,MIN('Loan Calculator'!B4,B19*(1+'Loan Calculator'!B7)))</f>
        <v>365.72</v>
      </c>
      <c r="D19" s="22" t="n">
        <f aca="false">IF(B19&lt;=0,0,B19*'Loan Calculator'!B7)</f>
        <v>73.9174543184737</v>
      </c>
      <c r="E19" s="22" t="n">
        <f aca="false">IF(B19&lt;=0,0,C19-D19)</f>
        <v>291.802545681526</v>
      </c>
      <c r="F19" s="22" t="n">
        <f aca="false">IF(B19&lt;=0,0,MAX(0,B19-E19))</f>
        <v>31739.0943256571</v>
      </c>
      <c r="G19" s="22" t="n">
        <f aca="false">G18+D19</f>
        <v>1432.05432565708</v>
      </c>
    </row>
    <row r="20" customFormat="false" ht="15" hidden="false" customHeight="false" outlineLevel="0" collapsed="false">
      <c r="A20" s="18" t="n">
        <v>19</v>
      </c>
      <c r="B20" s="19" t="n">
        <f aca="false">MAX(0,F19)</f>
        <v>31739.0943256571</v>
      </c>
      <c r="C20" s="19" t="n">
        <f aca="false">IF(B20&lt;=0,0,MIN('Loan Calculator'!B4,B20*(1+'Loan Calculator'!B7)))</f>
        <v>365.72</v>
      </c>
      <c r="D20" s="19" t="n">
        <f aca="false">IF(B20&lt;=0,0,B20*'Loan Calculator'!B7)</f>
        <v>73.2440638284394</v>
      </c>
      <c r="E20" s="19" t="n">
        <f aca="false">IF(B20&lt;=0,0,C20-D20)</f>
        <v>292.475936171561</v>
      </c>
      <c r="F20" s="19" t="n">
        <f aca="false">IF(B20&lt;=0,0,MAX(0,B20-E20))</f>
        <v>31446.6183894855</v>
      </c>
      <c r="G20" s="19" t="n">
        <f aca="false">G19+D20</f>
        <v>1505.29838948552</v>
      </c>
    </row>
    <row r="21" customFormat="false" ht="15" hidden="false" customHeight="false" outlineLevel="0" collapsed="false">
      <c r="A21" s="21" t="n">
        <v>20</v>
      </c>
      <c r="B21" s="22" t="n">
        <f aca="false">MAX(0,F20)</f>
        <v>31446.6183894855</v>
      </c>
      <c r="C21" s="22" t="n">
        <f aca="false">IF(B21&lt;=0,0,MIN('Loan Calculator'!B4,B21*(1+'Loan Calculator'!B7)))</f>
        <v>365.72</v>
      </c>
      <c r="D21" s="22" t="n">
        <f aca="false">IF(B21&lt;=0,0,B21*'Loan Calculator'!B7)</f>
        <v>72.5691193603512</v>
      </c>
      <c r="E21" s="22" t="n">
        <f aca="false">IF(B21&lt;=0,0,C21-D21)</f>
        <v>293.150880639649</v>
      </c>
      <c r="F21" s="22" t="n">
        <f aca="false">IF(B21&lt;=0,0,MAX(0,B21-E21))</f>
        <v>31153.4675088459</v>
      </c>
      <c r="G21" s="22" t="n">
        <f aca="false">G20+D21</f>
        <v>1577.86750884587</v>
      </c>
    </row>
    <row r="22" customFormat="false" ht="15" hidden="false" customHeight="false" outlineLevel="0" collapsed="false">
      <c r="A22" s="18" t="n">
        <v>21</v>
      </c>
      <c r="B22" s="19" t="n">
        <f aca="false">MAX(0,F21)</f>
        <v>31153.4675088459</v>
      </c>
      <c r="C22" s="19" t="n">
        <f aca="false">IF(B22&lt;=0,0,MIN('Loan Calculator'!B4,B22*(1+'Loan Calculator'!B7)))</f>
        <v>365.72</v>
      </c>
      <c r="D22" s="19" t="n">
        <f aca="false">IF(B22&lt;=0,0,B22*'Loan Calculator'!B7)</f>
        <v>71.8926173281058</v>
      </c>
      <c r="E22" s="19" t="n">
        <f aca="false">IF(B22&lt;=0,0,C22-D22)</f>
        <v>293.827382671894</v>
      </c>
      <c r="F22" s="19" t="n">
        <f aca="false">IF(B22&lt;=0,0,MAX(0,B22-E22))</f>
        <v>30859.640126174</v>
      </c>
      <c r="G22" s="19" t="n">
        <f aca="false">G21+D22</f>
        <v>1649.76012617398</v>
      </c>
    </row>
    <row r="23" customFormat="false" ht="15" hidden="false" customHeight="false" outlineLevel="0" collapsed="false">
      <c r="A23" s="21" t="n">
        <v>22</v>
      </c>
      <c r="B23" s="22" t="n">
        <f aca="false">MAX(0,F22)</f>
        <v>30859.640126174</v>
      </c>
      <c r="C23" s="22" t="n">
        <f aca="false">IF(B23&lt;=0,0,MIN('Loan Calculator'!B4,B23*(1+'Loan Calculator'!B7)))</f>
        <v>365.72</v>
      </c>
      <c r="D23" s="22" t="n">
        <f aca="false">IF(B23&lt;=0,0,B23*'Loan Calculator'!B7)</f>
        <v>71.2145541373245</v>
      </c>
      <c r="E23" s="22" t="n">
        <f aca="false">IF(B23&lt;=0,0,C23-D23)</f>
        <v>294.505445862676</v>
      </c>
      <c r="F23" s="22" t="n">
        <f aca="false">IF(B23&lt;=0,0,MAX(0,B23-E23))</f>
        <v>30565.1346803113</v>
      </c>
      <c r="G23" s="22" t="n">
        <f aca="false">G22+D23</f>
        <v>1720.9746803113</v>
      </c>
    </row>
    <row r="24" customFormat="false" ht="15" hidden="false" customHeight="false" outlineLevel="0" collapsed="false">
      <c r="A24" s="18" t="n">
        <v>23</v>
      </c>
      <c r="B24" s="19" t="n">
        <f aca="false">MAX(0,F23)</f>
        <v>30565.1346803113</v>
      </c>
      <c r="C24" s="19" t="n">
        <f aca="false">IF(B24&lt;=0,0,MIN('Loan Calculator'!B4,B24*(1+'Loan Calculator'!B7)))</f>
        <v>365.72</v>
      </c>
      <c r="D24" s="19" t="n">
        <f aca="false">IF(B24&lt;=0,0,B24*'Loan Calculator'!B7)</f>
        <v>70.5349261853337</v>
      </c>
      <c r="E24" s="19" t="n">
        <f aca="false">IF(B24&lt;=0,0,C24-D24)</f>
        <v>295.185073814666</v>
      </c>
      <c r="F24" s="19" t="n">
        <f aca="false">IF(B24&lt;=0,0,MAX(0,B24-E24))</f>
        <v>30269.9496064966</v>
      </c>
      <c r="G24" s="19" t="n">
        <f aca="false">G23+D24</f>
        <v>1791.50960649664</v>
      </c>
    </row>
    <row r="25" customFormat="false" ht="15" hidden="false" customHeight="false" outlineLevel="0" collapsed="false">
      <c r="A25" s="21" t="n">
        <v>24</v>
      </c>
      <c r="B25" s="22" t="n">
        <f aca="false">MAX(0,F24)</f>
        <v>30269.9496064966</v>
      </c>
      <c r="C25" s="22" t="n">
        <f aca="false">IF(B25&lt;=0,0,MIN('Loan Calculator'!B4,B25*(1+'Loan Calculator'!B7)))</f>
        <v>365.72</v>
      </c>
      <c r="D25" s="22" t="n">
        <f aca="false">IF(B25&lt;=0,0,B25*'Loan Calculator'!B7)</f>
        <v>69.853729861146</v>
      </c>
      <c r="E25" s="22" t="n">
        <f aca="false">IF(B25&lt;=0,0,C25-D25)</f>
        <v>295.866270138854</v>
      </c>
      <c r="F25" s="22" t="n">
        <f aca="false">IF(B25&lt;=0,0,MAX(0,B25-E25))</f>
        <v>29974.0833363578</v>
      </c>
      <c r="G25" s="22" t="n">
        <f aca="false">G24+D25</f>
        <v>1861.36333635778</v>
      </c>
    </row>
    <row r="26" customFormat="false" ht="15" hidden="false" customHeight="false" outlineLevel="0" collapsed="false">
      <c r="A26" s="18" t="n">
        <v>25</v>
      </c>
      <c r="B26" s="19" t="n">
        <f aca="false">MAX(0,F25)</f>
        <v>29974.0833363578</v>
      </c>
      <c r="C26" s="19" t="n">
        <f aca="false">IF(B26&lt;=0,0,MIN('Loan Calculator'!B4,B26*(1+'Loan Calculator'!B7)))</f>
        <v>365.72</v>
      </c>
      <c r="D26" s="19" t="n">
        <f aca="false">IF(B26&lt;=0,0,B26*'Loan Calculator'!B7)</f>
        <v>69.170961545441</v>
      </c>
      <c r="E26" s="19" t="n">
        <f aca="false">IF(B26&lt;=0,0,C26-D26)</f>
        <v>296.549038454559</v>
      </c>
      <c r="F26" s="19" t="n">
        <f aca="false">IF(B26&lt;=0,0,MAX(0,B26-E26))</f>
        <v>29677.5342979032</v>
      </c>
      <c r="G26" s="19" t="n">
        <f aca="false">G25+D26</f>
        <v>1930.53429790322</v>
      </c>
    </row>
    <row r="27" customFormat="false" ht="15" hidden="false" customHeight="false" outlineLevel="0" collapsed="false">
      <c r="A27" s="21" t="n">
        <v>26</v>
      </c>
      <c r="B27" s="22" t="n">
        <f aca="false">MAX(0,F26)</f>
        <v>29677.5342979032</v>
      </c>
      <c r="C27" s="22" t="n">
        <f aca="false">IF(B27&lt;=0,0,MIN('Loan Calculator'!B4,B27*(1+'Loan Calculator'!B7)))</f>
        <v>365.72</v>
      </c>
      <c r="D27" s="22" t="n">
        <f aca="false">IF(B27&lt;=0,0,B27*'Loan Calculator'!B7)</f>
        <v>68.4866176105459</v>
      </c>
      <c r="E27" s="22" t="n">
        <f aca="false">IF(B27&lt;=0,0,C27-D27)</f>
        <v>297.233382389454</v>
      </c>
      <c r="F27" s="22" t="n">
        <f aca="false">IF(B27&lt;=0,0,MAX(0,B27-E27))</f>
        <v>29380.3009155137</v>
      </c>
      <c r="G27" s="22" t="n">
        <f aca="false">G26+D27</f>
        <v>1999.02091551377</v>
      </c>
    </row>
    <row r="28" customFormat="false" ht="15" hidden="false" customHeight="false" outlineLevel="0" collapsed="false">
      <c r="A28" s="18" t="n">
        <v>27</v>
      </c>
      <c r="B28" s="19" t="n">
        <f aca="false">MAX(0,F27)</f>
        <v>29380.3009155137</v>
      </c>
      <c r="C28" s="19" t="n">
        <f aca="false">IF(B28&lt;=0,0,MIN('Loan Calculator'!B4,B28*(1+'Loan Calculator'!B7)))</f>
        <v>365.72</v>
      </c>
      <c r="D28" s="19" t="n">
        <f aca="false">IF(B28&lt;=0,0,B28*'Loan Calculator'!B7)</f>
        <v>67.8006944204163</v>
      </c>
      <c r="E28" s="19" t="n">
        <f aca="false">IF(B28&lt;=0,0,C28-D28)</f>
        <v>297.919305579584</v>
      </c>
      <c r="F28" s="19" t="n">
        <f aca="false">IF(B28&lt;=0,0,MAX(0,B28-E28))</f>
        <v>29082.3816099342</v>
      </c>
      <c r="G28" s="19" t="n">
        <f aca="false">G27+D28</f>
        <v>2066.82160993418</v>
      </c>
    </row>
    <row r="29" customFormat="false" ht="15" hidden="false" customHeight="false" outlineLevel="0" collapsed="false">
      <c r="A29" s="21" t="n">
        <v>28</v>
      </c>
      <c r="B29" s="22" t="n">
        <f aca="false">MAX(0,F28)</f>
        <v>29082.3816099342</v>
      </c>
      <c r="C29" s="22" t="n">
        <f aca="false">IF(B29&lt;=0,0,MIN('Loan Calculator'!B4,B29*(1+'Loan Calculator'!B7)))</f>
        <v>365.72</v>
      </c>
      <c r="D29" s="22" t="n">
        <f aca="false">IF(B29&lt;=0,0,B29*'Loan Calculator'!B7)</f>
        <v>67.1131883306173</v>
      </c>
      <c r="E29" s="22" t="n">
        <f aca="false">IF(B29&lt;=0,0,C29-D29)</f>
        <v>298.606811669383</v>
      </c>
      <c r="F29" s="22" t="n">
        <f aca="false">IF(B29&lt;=0,0,MAX(0,B29-E29))</f>
        <v>28783.7747982648</v>
      </c>
      <c r="G29" s="22" t="n">
        <f aca="false">G28+D29</f>
        <v>2133.9347982648</v>
      </c>
    </row>
    <row r="30" customFormat="false" ht="15" hidden="false" customHeight="false" outlineLevel="0" collapsed="false">
      <c r="A30" s="18" t="n">
        <v>29</v>
      </c>
      <c r="B30" s="19" t="n">
        <f aca="false">MAX(0,F29)</f>
        <v>28783.7747982648</v>
      </c>
      <c r="C30" s="19" t="n">
        <f aca="false">IF(B30&lt;=0,0,MIN('Loan Calculator'!B4,B30*(1+'Loan Calculator'!B7)))</f>
        <v>365.72</v>
      </c>
      <c r="D30" s="19" t="n">
        <f aca="false">IF(B30&lt;=0,0,B30*'Loan Calculator'!B7)</f>
        <v>66.4240956883033</v>
      </c>
      <c r="E30" s="19" t="n">
        <f aca="false">IF(B30&lt;=0,0,C30-D30)</f>
        <v>299.295904311697</v>
      </c>
      <c r="F30" s="19" t="n">
        <f aca="false">IF(B30&lt;=0,0,MAX(0,B30-E30))</f>
        <v>28484.4788939531</v>
      </c>
      <c r="G30" s="19" t="n">
        <f aca="false">G29+D30</f>
        <v>2200.35889395311</v>
      </c>
    </row>
    <row r="31" customFormat="false" ht="15" hidden="false" customHeight="false" outlineLevel="0" collapsed="false">
      <c r="A31" s="21" t="n">
        <v>30</v>
      </c>
      <c r="B31" s="22" t="n">
        <f aca="false">MAX(0,F30)</f>
        <v>28484.4788939531</v>
      </c>
      <c r="C31" s="22" t="n">
        <f aca="false">IF(B31&lt;=0,0,MIN('Loan Calculator'!B4,B31*(1+'Loan Calculator'!B7)))</f>
        <v>365.72</v>
      </c>
      <c r="D31" s="22" t="n">
        <f aca="false">IF(B31&lt;=0,0,B31*'Loan Calculator'!B7)</f>
        <v>65.7334128321994</v>
      </c>
      <c r="E31" s="22" t="n">
        <f aca="false">IF(B31&lt;=0,0,C31-D31)</f>
        <v>299.986587167801</v>
      </c>
      <c r="F31" s="22" t="n">
        <f aca="false">IF(B31&lt;=0,0,MAX(0,B31-E31))</f>
        <v>28184.4923067853</v>
      </c>
      <c r="G31" s="22" t="n">
        <f aca="false">G30+D31</f>
        <v>2266.0923067853</v>
      </c>
    </row>
    <row r="32" customFormat="false" ht="15" hidden="false" customHeight="false" outlineLevel="0" collapsed="false">
      <c r="A32" s="18" t="n">
        <v>31</v>
      </c>
      <c r="B32" s="19" t="n">
        <f aca="false">MAX(0,F31)</f>
        <v>28184.4923067853</v>
      </c>
      <c r="C32" s="19" t="n">
        <f aca="false">IF(B32&lt;=0,0,MIN('Loan Calculator'!B4,B32*(1+'Loan Calculator'!B7)))</f>
        <v>365.72</v>
      </c>
      <c r="D32" s="19" t="n">
        <f aca="false">IF(B32&lt;=0,0,B32*'Loan Calculator'!B7)</f>
        <v>65.0411360925814</v>
      </c>
      <c r="E32" s="19" t="n">
        <f aca="false">IF(B32&lt;=0,0,C32-D32)</f>
        <v>300.678863907419</v>
      </c>
      <c r="F32" s="19" t="n">
        <f aca="false">IF(B32&lt;=0,0,MAX(0,B32-E32))</f>
        <v>27883.8134428779</v>
      </c>
      <c r="G32" s="19" t="n">
        <f aca="false">G31+D32</f>
        <v>2331.13344287789</v>
      </c>
    </row>
    <row r="33" customFormat="false" ht="15" hidden="false" customHeight="false" outlineLevel="0" collapsed="false">
      <c r="A33" s="21" t="n">
        <v>32</v>
      </c>
      <c r="B33" s="22" t="n">
        <f aca="false">MAX(0,F32)</f>
        <v>27883.8134428779</v>
      </c>
      <c r="C33" s="22" t="n">
        <f aca="false">IF(B33&lt;=0,0,MIN('Loan Calculator'!B4,B33*(1+'Loan Calculator'!B7)))</f>
        <v>365.72</v>
      </c>
      <c r="D33" s="22" t="n">
        <f aca="false">IF(B33&lt;=0,0,B33*'Loan Calculator'!B7)</f>
        <v>64.3472617912566</v>
      </c>
      <c r="E33" s="22" t="n">
        <f aca="false">IF(B33&lt;=0,0,C33-D33)</f>
        <v>301.372738208743</v>
      </c>
      <c r="F33" s="22" t="n">
        <f aca="false">IF(B33&lt;=0,0,MAX(0,B33-E33))</f>
        <v>27582.4407046691</v>
      </c>
      <c r="G33" s="22" t="n">
        <f aca="false">G32+D33</f>
        <v>2395.48070466914</v>
      </c>
    </row>
    <row r="34" customFormat="false" ht="15" hidden="false" customHeight="false" outlineLevel="0" collapsed="false">
      <c r="A34" s="18" t="n">
        <v>33</v>
      </c>
      <c r="B34" s="19" t="n">
        <f aca="false">MAX(0,F33)</f>
        <v>27582.4407046691</v>
      </c>
      <c r="C34" s="19" t="n">
        <f aca="false">IF(B34&lt;=0,0,MIN('Loan Calculator'!B4,B34*(1+'Loan Calculator'!B7)))</f>
        <v>365.72</v>
      </c>
      <c r="D34" s="19" t="n">
        <f aca="false">IF(B34&lt;=0,0,B34*'Loan Calculator'!B7)</f>
        <v>63.6517862415441</v>
      </c>
      <c r="E34" s="19" t="n">
        <f aca="false">IF(B34&lt;=0,0,C34-D34)</f>
        <v>302.068213758456</v>
      </c>
      <c r="F34" s="19" t="n">
        <f aca="false">IF(B34&lt;=0,0,MAX(0,B34-E34))</f>
        <v>27280.3724909107</v>
      </c>
      <c r="G34" s="19" t="n">
        <f aca="false">G33+D34</f>
        <v>2459.13249091069</v>
      </c>
    </row>
    <row r="35" customFormat="false" ht="15" hidden="false" customHeight="false" outlineLevel="0" collapsed="false">
      <c r="A35" s="21" t="n">
        <v>34</v>
      </c>
      <c r="B35" s="22" t="n">
        <f aca="false">MAX(0,F34)</f>
        <v>27280.3724909107</v>
      </c>
      <c r="C35" s="22" t="n">
        <f aca="false">IF(B35&lt;=0,0,MIN('Loan Calculator'!B4,B35*(1+'Loan Calculator'!B7)))</f>
        <v>365.72</v>
      </c>
      <c r="D35" s="22" t="n">
        <f aca="false">IF(B35&lt;=0,0,B35*'Loan Calculator'!B7)</f>
        <v>62.9547057482554</v>
      </c>
      <c r="E35" s="22" t="n">
        <f aca="false">IF(B35&lt;=0,0,C35-D35)</f>
        <v>302.765294251745</v>
      </c>
      <c r="F35" s="22" t="n">
        <f aca="false">IF(B35&lt;=0,0,MAX(0,B35-E35))</f>
        <v>26977.6071966589</v>
      </c>
      <c r="G35" s="22" t="n">
        <f aca="false">G34+D35</f>
        <v>2522.08719665894</v>
      </c>
    </row>
    <row r="36" customFormat="false" ht="15" hidden="false" customHeight="false" outlineLevel="0" collapsed="false">
      <c r="A36" s="18" t="n">
        <v>35</v>
      </c>
      <c r="B36" s="19" t="n">
        <f aca="false">MAX(0,F35)</f>
        <v>26977.6071966589</v>
      </c>
      <c r="C36" s="19" t="n">
        <f aca="false">IF(B36&lt;=0,0,MIN('Loan Calculator'!B4,B36*(1+'Loan Calculator'!B7)))</f>
        <v>365.72</v>
      </c>
      <c r="D36" s="19" t="n">
        <f aca="false">IF(B36&lt;=0,0,B36*'Loan Calculator'!B7)</f>
        <v>62.2560166076744</v>
      </c>
      <c r="E36" s="19" t="n">
        <f aca="false">IF(B36&lt;=0,0,C36-D36)</f>
        <v>303.463983392326</v>
      </c>
      <c r="F36" s="19" t="n">
        <f aca="false">IF(B36&lt;=0,0,MAX(0,B36-E36))</f>
        <v>26674.1432132666</v>
      </c>
      <c r="G36" s="19" t="n">
        <f aca="false">G35+D36</f>
        <v>2584.34321326662</v>
      </c>
    </row>
    <row r="37" customFormat="false" ht="15" hidden="false" customHeight="false" outlineLevel="0" collapsed="false">
      <c r="A37" s="21" t="n">
        <v>36</v>
      </c>
      <c r="B37" s="22" t="n">
        <f aca="false">MAX(0,F36)</f>
        <v>26674.1432132666</v>
      </c>
      <c r="C37" s="22" t="n">
        <f aca="false">IF(B37&lt;=0,0,MIN('Loan Calculator'!B4,B37*(1+'Loan Calculator'!B7)))</f>
        <v>365.72</v>
      </c>
      <c r="D37" s="22" t="n">
        <f aca="false">IF(B37&lt;=0,0,B37*'Loan Calculator'!B7)</f>
        <v>61.5557151075383</v>
      </c>
      <c r="E37" s="22" t="n">
        <f aca="false">IF(B37&lt;=0,0,C37-D37)</f>
        <v>304.164284892462</v>
      </c>
      <c r="F37" s="22" t="n">
        <f aca="false">IF(B37&lt;=0,0,MAX(0,B37-E37))</f>
        <v>26369.9789283741</v>
      </c>
      <c r="G37" s="22" t="n">
        <f aca="false">G36+D37</f>
        <v>2645.89892837416</v>
      </c>
    </row>
    <row r="38" customFormat="false" ht="15" hidden="false" customHeight="false" outlineLevel="0" collapsed="false">
      <c r="A38" s="18" t="n">
        <v>37</v>
      </c>
      <c r="B38" s="19" t="n">
        <f aca="false">MAX(0,F37)</f>
        <v>26369.9789283741</v>
      </c>
      <c r="C38" s="19" t="n">
        <f aca="false">IF(B38&lt;=0,0,MIN('Loan Calculator'!B4,B38*(1+'Loan Calculator'!B7)))</f>
        <v>365.72</v>
      </c>
      <c r="D38" s="19" t="n">
        <f aca="false">IF(B38&lt;=0,0,B38*'Loan Calculator'!B7)</f>
        <v>60.8537975270172</v>
      </c>
      <c r="E38" s="19" t="n">
        <f aca="false">IF(B38&lt;=0,0,C38-D38)</f>
        <v>304.866202472983</v>
      </c>
      <c r="F38" s="19" t="n">
        <f aca="false">IF(B38&lt;=0,0,MAX(0,B38-E38))</f>
        <v>26065.1127259012</v>
      </c>
      <c r="G38" s="19" t="n">
        <f aca="false">G37+D38</f>
        <v>2706.75272590117</v>
      </c>
    </row>
    <row r="39" customFormat="false" ht="15" hidden="false" customHeight="false" outlineLevel="0" collapsed="false">
      <c r="A39" s="21" t="n">
        <v>38</v>
      </c>
      <c r="B39" s="22" t="n">
        <f aca="false">MAX(0,F38)</f>
        <v>26065.1127259012</v>
      </c>
      <c r="C39" s="22" t="n">
        <f aca="false">IF(B39&lt;=0,0,MIN('Loan Calculator'!B4,B39*(1+'Loan Calculator'!B7)))</f>
        <v>365.72</v>
      </c>
      <c r="D39" s="22" t="n">
        <f aca="false">IF(B39&lt;=0,0,B39*'Loan Calculator'!B7)</f>
        <v>60.150260136695</v>
      </c>
      <c r="E39" s="22" t="n">
        <f aca="false">IF(B39&lt;=0,0,C39-D39)</f>
        <v>305.569739863305</v>
      </c>
      <c r="F39" s="22" t="n">
        <f aca="false">IF(B39&lt;=0,0,MAX(0,B39-E39))</f>
        <v>25759.5429860379</v>
      </c>
      <c r="G39" s="22" t="n">
        <f aca="false">G38+D39</f>
        <v>2766.90298603787</v>
      </c>
    </row>
    <row r="40" customFormat="false" ht="15" hidden="false" customHeight="false" outlineLevel="0" collapsed="false">
      <c r="A40" s="18" t="n">
        <v>39</v>
      </c>
      <c r="B40" s="19" t="n">
        <f aca="false">MAX(0,F39)</f>
        <v>25759.5429860379</v>
      </c>
      <c r="C40" s="19" t="n">
        <f aca="false">IF(B40&lt;=0,0,MIN('Loan Calculator'!B4,B40*(1+'Loan Calculator'!B7)))</f>
        <v>365.72</v>
      </c>
      <c r="D40" s="19" t="n">
        <f aca="false">IF(B40&lt;=0,0,B40*'Loan Calculator'!B7)</f>
        <v>59.4450991985489</v>
      </c>
      <c r="E40" s="19" t="n">
        <f aca="false">IF(B40&lt;=0,0,C40-D40)</f>
        <v>306.274900801451</v>
      </c>
      <c r="F40" s="19" t="n">
        <f aca="false">IF(B40&lt;=0,0,MAX(0,B40-E40))</f>
        <v>25453.2680852364</v>
      </c>
      <c r="G40" s="19" t="n">
        <f aca="false">G39+D40</f>
        <v>2826.34808523642</v>
      </c>
    </row>
    <row r="41" customFormat="false" ht="15" hidden="false" customHeight="false" outlineLevel="0" collapsed="false">
      <c r="A41" s="21" t="n">
        <v>40</v>
      </c>
      <c r="B41" s="22" t="n">
        <f aca="false">MAX(0,F40)</f>
        <v>25453.2680852364</v>
      </c>
      <c r="C41" s="22" t="n">
        <f aca="false">IF(B41&lt;=0,0,MIN('Loan Calculator'!B4,B41*(1+'Loan Calculator'!B7)))</f>
        <v>365.72</v>
      </c>
      <c r="D41" s="22" t="n">
        <f aca="false">IF(B41&lt;=0,0,B41*'Loan Calculator'!B7)</f>
        <v>58.7383109659302</v>
      </c>
      <c r="E41" s="22" t="n">
        <f aca="false">IF(B41&lt;=0,0,C41-D41)</f>
        <v>306.98168903407</v>
      </c>
      <c r="F41" s="22" t="n">
        <f aca="false">IF(B41&lt;=0,0,MAX(0,B41-E41))</f>
        <v>25146.2863962023</v>
      </c>
      <c r="G41" s="22" t="n">
        <f aca="false">G40+D41</f>
        <v>2885.08639620235</v>
      </c>
    </row>
    <row r="42" customFormat="false" ht="15" hidden="false" customHeight="false" outlineLevel="0" collapsed="false">
      <c r="A42" s="18" t="n">
        <v>41</v>
      </c>
      <c r="B42" s="19" t="n">
        <f aca="false">MAX(0,F41)</f>
        <v>25146.2863962023</v>
      </c>
      <c r="C42" s="19" t="n">
        <f aca="false">IF(B42&lt;=0,0,MIN('Loan Calculator'!B4,B42*(1+'Loan Calculator'!B7)))</f>
        <v>365.72</v>
      </c>
      <c r="D42" s="19" t="n">
        <f aca="false">IF(B42&lt;=0,0,B42*'Loan Calculator'!B7)</f>
        <v>58.0298916835438</v>
      </c>
      <c r="E42" s="19" t="n">
        <f aca="false">IF(B42&lt;=0,0,C42-D42)</f>
        <v>307.690108316456</v>
      </c>
      <c r="F42" s="19" t="n">
        <f aca="false">IF(B42&lt;=0,0,MAX(0,B42-E42))</f>
        <v>24838.5962878859</v>
      </c>
      <c r="G42" s="19" t="n">
        <f aca="false">G41+D42</f>
        <v>2943.11628788589</v>
      </c>
    </row>
    <row r="43" customFormat="false" ht="15" hidden="false" customHeight="false" outlineLevel="0" collapsed="false">
      <c r="A43" s="21" t="n">
        <v>42</v>
      </c>
      <c r="B43" s="22" t="n">
        <f aca="false">MAX(0,F42)</f>
        <v>24838.5962878859</v>
      </c>
      <c r="C43" s="22" t="n">
        <f aca="false">IF(B43&lt;=0,0,MIN('Loan Calculator'!B4,B43*(1+'Loan Calculator'!B7)))</f>
        <v>365.72</v>
      </c>
      <c r="D43" s="22" t="n">
        <f aca="false">IF(B43&lt;=0,0,B43*'Loan Calculator'!B7)</f>
        <v>57.3198375874289</v>
      </c>
      <c r="E43" s="22" t="n">
        <f aca="false">IF(B43&lt;=0,0,C43-D43)</f>
        <v>308.400162412571</v>
      </c>
      <c r="F43" s="22" t="n">
        <f aca="false">IF(B43&lt;=0,0,MAX(0,B43-E43))</f>
        <v>24530.1961254733</v>
      </c>
      <c r="G43" s="22" t="n">
        <f aca="false">G42+D43</f>
        <v>3000.43612547332</v>
      </c>
    </row>
    <row r="44" customFormat="false" ht="15" hidden="false" customHeight="false" outlineLevel="0" collapsed="false">
      <c r="A44" s="18" t="n">
        <v>43</v>
      </c>
      <c r="B44" s="19" t="n">
        <f aca="false">MAX(0,F43)</f>
        <v>24530.1961254733</v>
      </c>
      <c r="C44" s="19" t="n">
        <f aca="false">IF(B44&lt;=0,0,MIN('Loan Calculator'!B4,B44*(1+'Loan Calculator'!B7)))</f>
        <v>365.72</v>
      </c>
      <c r="D44" s="19" t="n">
        <f aca="false">IF(B44&lt;=0,0,B44*'Loan Calculator'!B7)</f>
        <v>56.6081449049384</v>
      </c>
      <c r="E44" s="19" t="n">
        <f aca="false">IF(B44&lt;=0,0,C44-D44)</f>
        <v>309.111855095062</v>
      </c>
      <c r="F44" s="19" t="n">
        <f aca="false">IF(B44&lt;=0,0,MAX(0,B44-E44))</f>
        <v>24221.0842703782</v>
      </c>
      <c r="G44" s="19" t="n">
        <f aca="false">G43+D44</f>
        <v>3057.04427037826</v>
      </c>
    </row>
    <row r="45" customFormat="false" ht="15" hidden="false" customHeight="false" outlineLevel="0" collapsed="false">
      <c r="A45" s="21" t="n">
        <v>44</v>
      </c>
      <c r="B45" s="22" t="n">
        <f aca="false">MAX(0,F44)</f>
        <v>24221.0842703782</v>
      </c>
      <c r="C45" s="22" t="n">
        <f aca="false">IF(B45&lt;=0,0,MIN('Loan Calculator'!B4,B45*(1+'Loan Calculator'!B7)))</f>
        <v>365.72</v>
      </c>
      <c r="D45" s="22" t="n">
        <f aca="false">IF(B45&lt;=0,0,B45*'Loan Calculator'!B7)</f>
        <v>55.894809854719</v>
      </c>
      <c r="E45" s="22" t="n">
        <f aca="false">IF(B45&lt;=0,0,C45-D45)</f>
        <v>309.825190145281</v>
      </c>
      <c r="F45" s="22" t="n">
        <f aca="false">IF(B45&lt;=0,0,MAX(0,B45-E45))</f>
        <v>23911.259080233</v>
      </c>
      <c r="G45" s="22" t="n">
        <f aca="false">G44+D45</f>
        <v>3112.93908023298</v>
      </c>
    </row>
    <row r="46" customFormat="false" ht="15" hidden="false" customHeight="false" outlineLevel="0" collapsed="false">
      <c r="A46" s="18" t="n">
        <v>45</v>
      </c>
      <c r="B46" s="19" t="n">
        <f aca="false">MAX(0,F45)</f>
        <v>23911.259080233</v>
      </c>
      <c r="C46" s="19" t="n">
        <f aca="false">IF(B46&lt;=0,0,MIN('Loan Calculator'!B4,B46*(1+'Loan Calculator'!B7)))</f>
        <v>365.72</v>
      </c>
      <c r="D46" s="19" t="n">
        <f aca="false">IF(B46&lt;=0,0,B46*'Loan Calculator'!B7)</f>
        <v>55.1798286466914</v>
      </c>
      <c r="E46" s="19" t="n">
        <f aca="false">IF(B46&lt;=0,0,C46-D46)</f>
        <v>310.540171353309</v>
      </c>
      <c r="F46" s="19" t="n">
        <f aca="false">IF(B46&lt;=0,0,MAX(0,B46-E46))</f>
        <v>23600.7189088796</v>
      </c>
      <c r="G46" s="19" t="n">
        <f aca="false">G45+D46</f>
        <v>3168.11890887967</v>
      </c>
    </row>
    <row r="47" customFormat="false" ht="15" hidden="false" customHeight="false" outlineLevel="0" collapsed="false">
      <c r="A47" s="21" t="n">
        <v>46</v>
      </c>
      <c r="B47" s="22" t="n">
        <f aca="false">MAX(0,F46)</f>
        <v>23600.7189088796</v>
      </c>
      <c r="C47" s="22" t="n">
        <f aca="false">IF(B47&lt;=0,0,MIN('Loan Calculator'!B4,B47*(1+'Loan Calculator'!B7)))</f>
        <v>365.72</v>
      </c>
      <c r="D47" s="22" t="n">
        <f aca="false">IF(B47&lt;=0,0,B47*'Loan Calculator'!B7)</f>
        <v>54.46319748203</v>
      </c>
      <c r="E47" s="22" t="n">
        <f aca="false">IF(B47&lt;=0,0,C47-D47)</f>
        <v>311.25680251797</v>
      </c>
      <c r="F47" s="22" t="n">
        <f aca="false">IF(B47&lt;=0,0,MAX(0,B47-E47))</f>
        <v>23289.4621063617</v>
      </c>
      <c r="G47" s="22" t="n">
        <f aca="false">G46+D47</f>
        <v>3222.5821063617</v>
      </c>
    </row>
    <row r="48" customFormat="false" ht="15" hidden="false" customHeight="false" outlineLevel="0" collapsed="false">
      <c r="A48" s="18" t="n">
        <v>47</v>
      </c>
      <c r="B48" s="19" t="n">
        <f aca="false">MAX(0,F47)</f>
        <v>23289.4621063617</v>
      </c>
      <c r="C48" s="19" t="n">
        <f aca="false">IF(B48&lt;=0,0,MIN('Loan Calculator'!B4,B48*(1+'Loan Calculator'!B7)))</f>
        <v>365.72</v>
      </c>
      <c r="D48" s="19" t="n">
        <f aca="false">IF(B48&lt;=0,0,B48*'Loan Calculator'!B7)</f>
        <v>53.7449125531423</v>
      </c>
      <c r="E48" s="19" t="n">
        <f aca="false">IF(B48&lt;=0,0,C48-D48)</f>
        <v>311.975087446858</v>
      </c>
      <c r="F48" s="19" t="n">
        <f aca="false">IF(B48&lt;=0,0,MAX(0,B48-E48))</f>
        <v>22977.4870189148</v>
      </c>
      <c r="G48" s="19" t="n">
        <f aca="false">G47+D48</f>
        <v>3276.32701891484</v>
      </c>
    </row>
    <row r="49" customFormat="false" ht="15" hidden="false" customHeight="false" outlineLevel="0" collapsed="false">
      <c r="A49" s="21" t="n">
        <v>48</v>
      </c>
      <c r="B49" s="22" t="n">
        <f aca="false">MAX(0,F48)</f>
        <v>22977.4870189148</v>
      </c>
      <c r="C49" s="22" t="n">
        <f aca="false">IF(B49&lt;=0,0,MIN('Loan Calculator'!B4,B49*(1+'Loan Calculator'!B7)))</f>
        <v>365.72</v>
      </c>
      <c r="D49" s="22" t="n">
        <f aca="false">IF(B49&lt;=0,0,B49*'Loan Calculator'!B7)</f>
        <v>53.0249700436496</v>
      </c>
      <c r="E49" s="22" t="n">
        <f aca="false">IF(B49&lt;=0,0,C49-D49)</f>
        <v>312.695029956351</v>
      </c>
      <c r="F49" s="22" t="n">
        <f aca="false">IF(B49&lt;=0,0,MAX(0,B49-E49))</f>
        <v>22664.7919889585</v>
      </c>
      <c r="G49" s="22" t="n">
        <f aca="false">G48+D49</f>
        <v>3329.35198895849</v>
      </c>
    </row>
    <row r="50" customFormat="false" ht="15" hidden="false" customHeight="false" outlineLevel="0" collapsed="false">
      <c r="A50" s="18" t="n">
        <v>49</v>
      </c>
      <c r="B50" s="19" t="n">
        <f aca="false">MAX(0,F49)</f>
        <v>22664.7919889585</v>
      </c>
      <c r="C50" s="19" t="n">
        <f aca="false">IF(B50&lt;=0,0,MIN('Loan Calculator'!B4,B50*(1+'Loan Calculator'!B7)))</f>
        <v>365.72</v>
      </c>
      <c r="D50" s="19" t="n">
        <f aca="false">IF(B50&lt;=0,0,B50*'Loan Calculator'!B7)</f>
        <v>52.3033661283657</v>
      </c>
      <c r="E50" s="19" t="n">
        <f aca="false">IF(B50&lt;=0,0,C50-D50)</f>
        <v>313.416633871634</v>
      </c>
      <c r="F50" s="19" t="n">
        <f aca="false">IF(B50&lt;=0,0,MAX(0,B50-E50))</f>
        <v>22351.3753550868</v>
      </c>
      <c r="G50" s="19" t="n">
        <f aca="false">G49+D50</f>
        <v>3381.65535508686</v>
      </c>
    </row>
    <row r="51" customFormat="false" ht="15" hidden="false" customHeight="false" outlineLevel="0" collapsed="false">
      <c r="A51" s="21" t="n">
        <v>50</v>
      </c>
      <c r="B51" s="22" t="n">
        <f aca="false">MAX(0,F50)</f>
        <v>22351.3753550868</v>
      </c>
      <c r="C51" s="22" t="n">
        <f aca="false">IF(B51&lt;=0,0,MIN('Loan Calculator'!B4,B51*(1+'Loan Calculator'!B7)))</f>
        <v>365.72</v>
      </c>
      <c r="D51" s="22" t="n">
        <f aca="false">IF(B51&lt;=0,0,B51*'Loan Calculator'!B7)</f>
        <v>51.5800969732773</v>
      </c>
      <c r="E51" s="22" t="n">
        <f aca="false">IF(B51&lt;=0,0,C51-D51)</f>
        <v>314.139903026723</v>
      </c>
      <c r="F51" s="22" t="n">
        <f aca="false">IF(B51&lt;=0,0,MAX(0,B51-E51))</f>
        <v>22037.2354520601</v>
      </c>
      <c r="G51" s="22" t="n">
        <f aca="false">G50+D51</f>
        <v>3433.23545206013</v>
      </c>
    </row>
    <row r="52" customFormat="false" ht="15" hidden="false" customHeight="false" outlineLevel="0" collapsed="false">
      <c r="A52" s="18" t="n">
        <v>51</v>
      </c>
      <c r="B52" s="19" t="n">
        <f aca="false">MAX(0,F51)</f>
        <v>22037.2354520601</v>
      </c>
      <c r="C52" s="19" t="n">
        <f aca="false">IF(B52&lt;=0,0,MIN('Loan Calculator'!B4,B52*(1+'Loan Calculator'!B7)))</f>
        <v>365.72</v>
      </c>
      <c r="D52" s="19" t="n">
        <f aca="false">IF(B52&lt;=0,0,B52*'Loan Calculator'!B7)</f>
        <v>50.8551587355233</v>
      </c>
      <c r="E52" s="19" t="n">
        <f aca="false">IF(B52&lt;=0,0,C52-D52)</f>
        <v>314.864841264477</v>
      </c>
      <c r="F52" s="19" t="n">
        <f aca="false">IF(B52&lt;=0,0,MAX(0,B52-E52))</f>
        <v>21722.3706107956</v>
      </c>
      <c r="G52" s="19" t="n">
        <f aca="false">G51+D52</f>
        <v>3484.09061079566</v>
      </c>
    </row>
    <row r="53" customFormat="false" ht="15" hidden="false" customHeight="false" outlineLevel="0" collapsed="false">
      <c r="A53" s="21" t="n">
        <v>52</v>
      </c>
      <c r="B53" s="22" t="n">
        <f aca="false">MAX(0,F52)</f>
        <v>21722.3706107956</v>
      </c>
      <c r="C53" s="22" t="n">
        <f aca="false">IF(B53&lt;=0,0,MIN('Loan Calculator'!B4,B53*(1+'Loan Calculator'!B7)))</f>
        <v>365.72</v>
      </c>
      <c r="D53" s="22" t="n">
        <f aca="false">IF(B53&lt;=0,0,B53*'Loan Calculator'!B7)</f>
        <v>50.1285475633745</v>
      </c>
      <c r="E53" s="22" t="n">
        <f aca="false">IF(B53&lt;=0,0,C53-D53)</f>
        <v>315.591452436626</v>
      </c>
      <c r="F53" s="22" t="n">
        <f aca="false">IF(B53&lt;=0,0,MAX(0,B53-E53))</f>
        <v>21406.779158359</v>
      </c>
      <c r="G53" s="22" t="n">
        <f aca="false">G52+D53</f>
        <v>3534.21915835903</v>
      </c>
    </row>
    <row r="54" customFormat="false" ht="15" hidden="false" customHeight="false" outlineLevel="0" collapsed="false">
      <c r="A54" s="18" t="n">
        <v>53</v>
      </c>
      <c r="B54" s="19" t="n">
        <f aca="false">MAX(0,F53)</f>
        <v>21406.779158359</v>
      </c>
      <c r="C54" s="19" t="n">
        <f aca="false">IF(B54&lt;=0,0,MIN('Loan Calculator'!B4,B54*(1+'Loan Calculator'!B7)))</f>
        <v>365.72</v>
      </c>
      <c r="D54" s="19" t="n">
        <f aca="false">IF(B54&lt;=0,0,B54*'Loan Calculator'!B7)</f>
        <v>49.4002595962131</v>
      </c>
      <c r="E54" s="19" t="n">
        <f aca="false">IF(B54&lt;=0,0,C54-D54)</f>
        <v>316.319740403787</v>
      </c>
      <c r="F54" s="19" t="n">
        <f aca="false">IF(B54&lt;=0,0,MAX(0,B54-E54))</f>
        <v>21090.4594179552</v>
      </c>
      <c r="G54" s="19" t="n">
        <f aca="false">G53+D54</f>
        <v>3583.61941795524</v>
      </c>
    </row>
    <row r="55" customFormat="false" ht="15" hidden="false" customHeight="false" outlineLevel="0" collapsed="false">
      <c r="A55" s="21" t="n">
        <v>54</v>
      </c>
      <c r="B55" s="22" t="n">
        <f aca="false">MAX(0,F54)</f>
        <v>21090.4594179552</v>
      </c>
      <c r="C55" s="22" t="n">
        <f aca="false">IF(B55&lt;=0,0,MIN('Loan Calculator'!B4,B55*(1+'Loan Calculator'!B7)))</f>
        <v>365.72</v>
      </c>
      <c r="D55" s="22" t="n">
        <f aca="false">IF(B55&lt;=0,0,B55*'Loan Calculator'!B7)</f>
        <v>48.670290964512</v>
      </c>
      <c r="E55" s="22" t="n">
        <f aca="false">IF(B55&lt;=0,0,C55-D55)</f>
        <v>317.049709035488</v>
      </c>
      <c r="F55" s="22" t="n">
        <f aca="false">IF(B55&lt;=0,0,MAX(0,B55-E55))</f>
        <v>20773.4097089197</v>
      </c>
      <c r="G55" s="22" t="n">
        <f aca="false">G54+D55</f>
        <v>3632.28970891976</v>
      </c>
    </row>
    <row r="56" customFormat="false" ht="15" hidden="false" customHeight="false" outlineLevel="0" collapsed="false">
      <c r="A56" s="18" t="n">
        <v>55</v>
      </c>
      <c r="B56" s="19" t="n">
        <f aca="false">MAX(0,F55)</f>
        <v>20773.4097089197</v>
      </c>
      <c r="C56" s="19" t="n">
        <f aca="false">IF(B56&lt;=0,0,MIN('Loan Calculator'!B4,B56*(1+'Loan Calculator'!B7)))</f>
        <v>365.72</v>
      </c>
      <c r="D56" s="19" t="n">
        <f aca="false">IF(B56&lt;=0,0,B56*'Loan Calculator'!B7)</f>
        <v>47.9386377898148</v>
      </c>
      <c r="E56" s="19" t="n">
        <f aca="false">IF(B56&lt;=0,0,C56-D56)</f>
        <v>317.781362210185</v>
      </c>
      <c r="F56" s="19" t="n">
        <f aca="false">IF(B56&lt;=0,0,MAX(0,B56-E56))</f>
        <v>20455.6283467095</v>
      </c>
      <c r="G56" s="19" t="n">
        <f aca="false">G55+D56</f>
        <v>3680.22834670957</v>
      </c>
    </row>
    <row r="57" customFormat="false" ht="15" hidden="false" customHeight="false" outlineLevel="0" collapsed="false">
      <c r="A57" s="21" t="n">
        <v>56</v>
      </c>
      <c r="B57" s="22" t="n">
        <f aca="false">MAX(0,F56)</f>
        <v>20455.6283467095</v>
      </c>
      <c r="C57" s="22" t="n">
        <f aca="false">IF(B57&lt;=0,0,MIN('Loan Calculator'!B4,B57*(1+'Loan Calculator'!B7)))</f>
        <v>365.72</v>
      </c>
      <c r="D57" s="22" t="n">
        <f aca="false">IF(B57&lt;=0,0,B57*'Loan Calculator'!B7)</f>
        <v>47.2052961847143</v>
      </c>
      <c r="E57" s="22" t="n">
        <f aca="false">IF(B57&lt;=0,0,C57-D57)</f>
        <v>318.514703815286</v>
      </c>
      <c r="F57" s="22" t="n">
        <f aca="false">IF(B57&lt;=0,0,MAX(0,B57-E57))</f>
        <v>20137.1136428943</v>
      </c>
      <c r="G57" s="22" t="n">
        <f aca="false">G56+D57</f>
        <v>3727.43364289428</v>
      </c>
    </row>
    <row r="58" customFormat="false" ht="15" hidden="false" customHeight="false" outlineLevel="0" collapsed="false">
      <c r="A58" s="18" t="n">
        <v>57</v>
      </c>
      <c r="B58" s="19" t="n">
        <f aca="false">MAX(0,F57)</f>
        <v>20137.1136428943</v>
      </c>
      <c r="C58" s="19" t="n">
        <f aca="false">IF(B58&lt;=0,0,MIN('Loan Calculator'!B4,B58*(1+'Loan Calculator'!B7)))</f>
        <v>365.72</v>
      </c>
      <c r="D58" s="19" t="n">
        <f aca="false">IF(B58&lt;=0,0,B58*'Loan Calculator'!B7)</f>
        <v>46.4702622528329</v>
      </c>
      <c r="E58" s="19" t="n">
        <f aca="false">IF(B58&lt;=0,0,C58-D58)</f>
        <v>319.249737747167</v>
      </c>
      <c r="F58" s="19" t="n">
        <f aca="false">IF(B58&lt;=0,0,MAX(0,B58-E58))</f>
        <v>19817.8639051471</v>
      </c>
      <c r="G58" s="19" t="n">
        <f aca="false">G57+D58</f>
        <v>3773.90390514712</v>
      </c>
    </row>
    <row r="59" customFormat="false" ht="15" hidden="false" customHeight="false" outlineLevel="0" collapsed="false">
      <c r="A59" s="21" t="n">
        <v>58</v>
      </c>
      <c r="B59" s="22" t="n">
        <f aca="false">MAX(0,F58)</f>
        <v>19817.8639051471</v>
      </c>
      <c r="C59" s="22" t="n">
        <f aca="false">IF(B59&lt;=0,0,MIN('Loan Calculator'!B4,B59*(1+'Loan Calculator'!B7)))</f>
        <v>365.72</v>
      </c>
      <c r="D59" s="22" t="n">
        <f aca="false">IF(B59&lt;=0,0,B59*'Loan Calculator'!B7)</f>
        <v>45.733532088801</v>
      </c>
      <c r="E59" s="22" t="n">
        <f aca="false">IF(B59&lt;=0,0,C59-D59)</f>
        <v>319.986467911199</v>
      </c>
      <c r="F59" s="22" t="n">
        <f aca="false">IF(B59&lt;=0,0,MAX(0,B59-E59))</f>
        <v>19497.8774372359</v>
      </c>
      <c r="G59" s="22" t="n">
        <f aca="false">G58+D59</f>
        <v>3819.63743723592</v>
      </c>
    </row>
    <row r="60" customFormat="false" ht="15" hidden="false" customHeight="false" outlineLevel="0" collapsed="false">
      <c r="A60" s="18" t="n">
        <v>59</v>
      </c>
      <c r="B60" s="19" t="n">
        <f aca="false">MAX(0,F59)</f>
        <v>19497.8774372359</v>
      </c>
      <c r="C60" s="19" t="n">
        <f aca="false">IF(B60&lt;=0,0,MIN('Loan Calculator'!B4,B60*(1+'Loan Calculator'!B7)))</f>
        <v>365.72</v>
      </c>
      <c r="D60" s="19" t="n">
        <f aca="false">IF(B60&lt;=0,0,B60*'Loan Calculator'!B7)</f>
        <v>44.9951017782367</v>
      </c>
      <c r="E60" s="19" t="n">
        <f aca="false">IF(B60&lt;=0,0,C60-D60)</f>
        <v>320.724898221763</v>
      </c>
      <c r="F60" s="19" t="n">
        <f aca="false">IF(B60&lt;=0,0,MAX(0,B60-E60))</f>
        <v>19177.1525390141</v>
      </c>
      <c r="G60" s="19" t="n">
        <f aca="false">G59+D60</f>
        <v>3864.63253901416</v>
      </c>
    </row>
    <row r="61" customFormat="false" ht="15" hidden="false" customHeight="false" outlineLevel="0" collapsed="false">
      <c r="A61" s="21" t="n">
        <v>60</v>
      </c>
      <c r="B61" s="22" t="n">
        <f aca="false">MAX(0,F60)</f>
        <v>19177.1525390141</v>
      </c>
      <c r="C61" s="22" t="n">
        <f aca="false">IF(B61&lt;=0,0,MIN('Loan Calculator'!B4,B61*(1+'Loan Calculator'!B7)))</f>
        <v>365.72</v>
      </c>
      <c r="D61" s="22" t="n">
        <f aca="false">IF(B61&lt;=0,0,B61*'Loan Calculator'!B7)</f>
        <v>44.2549673977249</v>
      </c>
      <c r="E61" s="22" t="n">
        <f aca="false">IF(B61&lt;=0,0,C61-D61)</f>
        <v>321.465032602275</v>
      </c>
      <c r="F61" s="22" t="n">
        <f aca="false">IF(B61&lt;=0,0,MAX(0,B61-E61))</f>
        <v>18855.6875064119</v>
      </c>
      <c r="G61" s="22" t="n">
        <f aca="false">G60+D61</f>
        <v>3908.88750641188</v>
      </c>
    </row>
    <row r="62" customFormat="false" ht="15" hidden="false" customHeight="false" outlineLevel="0" collapsed="false">
      <c r="A62" s="18" t="n">
        <v>61</v>
      </c>
      <c r="B62" s="19" t="n">
        <f aca="false">MAX(0,F61)</f>
        <v>18855.6875064119</v>
      </c>
      <c r="C62" s="19" t="n">
        <f aca="false">IF(B62&lt;=0,0,MIN('Loan Calculator'!B4,B62*(1+'Loan Calculator'!B7)))</f>
        <v>365.72</v>
      </c>
      <c r="D62" s="19" t="n">
        <f aca="false">IF(B62&lt;=0,0,B62*'Loan Calculator'!B7)</f>
        <v>43.5131250147966</v>
      </c>
      <c r="E62" s="19" t="n">
        <f aca="false">IF(B62&lt;=0,0,C62-D62)</f>
        <v>322.206874985203</v>
      </c>
      <c r="F62" s="19" t="n">
        <f aca="false">IF(B62&lt;=0,0,MAX(0,B62-E62))</f>
        <v>18533.4806314267</v>
      </c>
      <c r="G62" s="19" t="n">
        <f aca="false">G61+D62</f>
        <v>3952.40063142668</v>
      </c>
    </row>
    <row r="63" customFormat="false" ht="15" hidden="false" customHeight="false" outlineLevel="0" collapsed="false">
      <c r="A63" s="21" t="n">
        <v>62</v>
      </c>
      <c r="B63" s="22" t="n">
        <f aca="false">MAX(0,F62)</f>
        <v>18533.4806314267</v>
      </c>
      <c r="C63" s="22" t="n">
        <f aca="false">IF(B63&lt;=0,0,MIN('Loan Calculator'!B4,B63*(1+'Loan Calculator'!B7)))</f>
        <v>365.72</v>
      </c>
      <c r="D63" s="22" t="n">
        <f aca="false">IF(B63&lt;=0,0,B63*'Loan Calculator'!B7)</f>
        <v>42.7695706879077</v>
      </c>
      <c r="E63" s="22" t="n">
        <f aca="false">IF(B63&lt;=0,0,C63-D63)</f>
        <v>322.950429312092</v>
      </c>
      <c r="F63" s="22" t="n">
        <f aca="false">IF(B63&lt;=0,0,MAX(0,B63-E63))</f>
        <v>18210.5302021146</v>
      </c>
      <c r="G63" s="22" t="n">
        <f aca="false">G62+D63</f>
        <v>3995.17020211458</v>
      </c>
    </row>
    <row r="64" customFormat="false" ht="15" hidden="false" customHeight="false" outlineLevel="0" collapsed="false">
      <c r="A64" s="18" t="n">
        <v>63</v>
      </c>
      <c r="B64" s="19" t="n">
        <f aca="false">MAX(0,F63)</f>
        <v>18210.5302021146</v>
      </c>
      <c r="C64" s="19" t="n">
        <f aca="false">IF(B64&lt;=0,0,MIN('Loan Calculator'!B4,B64*(1+'Loan Calculator'!B7)))</f>
        <v>365.72</v>
      </c>
      <c r="D64" s="19" t="n">
        <f aca="false">IF(B64&lt;=0,0,B64*'Loan Calculator'!B7)</f>
        <v>42.0243004664182</v>
      </c>
      <c r="E64" s="19" t="n">
        <f aca="false">IF(B64&lt;=0,0,C64-D64)</f>
        <v>323.695699533582</v>
      </c>
      <c r="F64" s="19" t="n">
        <f aca="false">IF(B64&lt;=0,0,MAX(0,B64-E64))</f>
        <v>17886.834502581</v>
      </c>
      <c r="G64" s="19" t="n">
        <f aca="false">G63+D64</f>
        <v>4037.194502581</v>
      </c>
    </row>
    <row r="65" customFormat="false" ht="15" hidden="false" customHeight="false" outlineLevel="0" collapsed="false">
      <c r="A65" s="21" t="n">
        <v>64</v>
      </c>
      <c r="B65" s="22" t="n">
        <f aca="false">MAX(0,F64)</f>
        <v>17886.834502581</v>
      </c>
      <c r="C65" s="22" t="n">
        <f aca="false">IF(B65&lt;=0,0,MIN('Loan Calculator'!B4,B65*(1+'Loan Calculator'!B7)))</f>
        <v>365.72</v>
      </c>
      <c r="D65" s="22" t="n">
        <f aca="false">IF(B65&lt;=0,0,B65*'Loan Calculator'!B7)</f>
        <v>41.2773103905715</v>
      </c>
      <c r="E65" s="22" t="n">
        <f aca="false">IF(B65&lt;=0,0,C65-D65)</f>
        <v>324.442689609429</v>
      </c>
      <c r="F65" s="22" t="n">
        <f aca="false">IF(B65&lt;=0,0,MAX(0,B65-E65))</f>
        <v>17562.3918129715</v>
      </c>
      <c r="G65" s="22" t="n">
        <f aca="false">G64+D65</f>
        <v>4078.47181297157</v>
      </c>
    </row>
    <row r="66" customFormat="false" ht="15" hidden="false" customHeight="false" outlineLevel="0" collapsed="false">
      <c r="A66" s="18" t="n">
        <v>65</v>
      </c>
      <c r="B66" s="19" t="n">
        <f aca="false">MAX(0,F65)</f>
        <v>17562.3918129715</v>
      </c>
      <c r="C66" s="19" t="n">
        <f aca="false">IF(B66&lt;=0,0,MIN('Loan Calculator'!B4,B66*(1+'Loan Calculator'!B7)))</f>
        <v>365.72</v>
      </c>
      <c r="D66" s="19" t="n">
        <f aca="false">IF(B66&lt;=0,0,B66*'Loan Calculator'!B7)</f>
        <v>40.5285964914728</v>
      </c>
      <c r="E66" s="19" t="n">
        <f aca="false">IF(B66&lt;=0,0,C66-D66)</f>
        <v>325.191403508527</v>
      </c>
      <c r="F66" s="19" t="n">
        <f aca="false">IF(B66&lt;=0,0,MAX(0,B66-E66))</f>
        <v>17237.200409463</v>
      </c>
      <c r="G66" s="19" t="n">
        <f aca="false">G65+D66</f>
        <v>4119.00040946305</v>
      </c>
    </row>
    <row r="67" customFormat="false" ht="15" hidden="false" customHeight="false" outlineLevel="0" collapsed="false">
      <c r="A67" s="21" t="n">
        <v>66</v>
      </c>
      <c r="B67" s="22" t="n">
        <f aca="false">MAX(0,F66)</f>
        <v>17237.200409463</v>
      </c>
      <c r="C67" s="22" t="n">
        <f aca="false">IF(B67&lt;=0,0,MIN('Loan Calculator'!B4,B67*(1+'Loan Calculator'!B7)))</f>
        <v>365.72</v>
      </c>
      <c r="D67" s="22" t="n">
        <f aca="false">IF(B67&lt;=0,0,B67*'Loan Calculator'!B7)</f>
        <v>39.7781547910685</v>
      </c>
      <c r="E67" s="22" t="n">
        <f aca="false">IF(B67&lt;=0,0,C67-D67)</f>
        <v>325.941845208932</v>
      </c>
      <c r="F67" s="22" t="n">
        <f aca="false">IF(B67&lt;=0,0,MAX(0,B67-E67))</f>
        <v>16911.2585642541</v>
      </c>
      <c r="G67" s="22" t="n">
        <f aca="false">G66+D67</f>
        <v>4158.77856425412</v>
      </c>
    </row>
    <row r="68" customFormat="false" ht="15" hidden="false" customHeight="false" outlineLevel="0" collapsed="false">
      <c r="A68" s="18" t="n">
        <v>67</v>
      </c>
      <c r="B68" s="19" t="n">
        <f aca="false">MAX(0,F67)</f>
        <v>16911.2585642541</v>
      </c>
      <c r="C68" s="19" t="n">
        <f aca="false">IF(B68&lt;=0,0,MIN('Loan Calculator'!B4,B68*(1+'Loan Calculator'!B7)))</f>
        <v>365.72</v>
      </c>
      <c r="D68" s="19" t="n">
        <f aca="false">IF(B68&lt;=0,0,B68*'Loan Calculator'!B7)</f>
        <v>39.0259813021248</v>
      </c>
      <c r="E68" s="19" t="n">
        <f aca="false">IF(B68&lt;=0,0,C68-D68)</f>
        <v>326.694018697875</v>
      </c>
      <c r="F68" s="19" t="n">
        <f aca="false">IF(B68&lt;=0,0,MAX(0,B68-E68))</f>
        <v>16584.5645455562</v>
      </c>
      <c r="G68" s="19" t="n">
        <f aca="false">G67+D68</f>
        <v>4197.80454555624</v>
      </c>
    </row>
    <row r="69" customFormat="false" ht="15" hidden="false" customHeight="false" outlineLevel="0" collapsed="false">
      <c r="A69" s="21" t="n">
        <v>68</v>
      </c>
      <c r="B69" s="22" t="n">
        <f aca="false">MAX(0,F68)</f>
        <v>16584.5645455562</v>
      </c>
      <c r="C69" s="22" t="n">
        <f aca="false">IF(B69&lt;=0,0,MIN('Loan Calculator'!B4,B69*(1+'Loan Calculator'!B7)))</f>
        <v>365.72</v>
      </c>
      <c r="D69" s="22" t="n">
        <f aca="false">IF(B69&lt;=0,0,B69*'Loan Calculator'!B7)</f>
        <v>38.2720720282066</v>
      </c>
      <c r="E69" s="22" t="n">
        <f aca="false">IF(B69&lt;=0,0,C69-D69)</f>
        <v>327.447927971793</v>
      </c>
      <c r="F69" s="22" t="n">
        <f aca="false">IF(B69&lt;=0,0,MAX(0,B69-E69))</f>
        <v>16257.1166175844</v>
      </c>
      <c r="G69" s="22" t="n">
        <f aca="false">G68+D69</f>
        <v>4236.07661758445</v>
      </c>
    </row>
    <row r="70" customFormat="false" ht="15" hidden="false" customHeight="false" outlineLevel="0" collapsed="false">
      <c r="A70" s="18" t="n">
        <v>69</v>
      </c>
      <c r="B70" s="19" t="n">
        <f aca="false">MAX(0,F69)</f>
        <v>16257.1166175844</v>
      </c>
      <c r="C70" s="19" t="n">
        <f aca="false">IF(B70&lt;=0,0,MIN('Loan Calculator'!B4,B70*(1+'Loan Calculator'!B7)))</f>
        <v>365.72</v>
      </c>
      <c r="D70" s="19" t="n">
        <f aca="false">IF(B70&lt;=0,0,B70*'Loan Calculator'!B7)</f>
        <v>37.5164229636563</v>
      </c>
      <c r="E70" s="19" t="n">
        <f aca="false">IF(B70&lt;=0,0,C70-D70)</f>
        <v>328.203577036344</v>
      </c>
      <c r="F70" s="19" t="n">
        <f aca="false">IF(B70&lt;=0,0,MAX(0,B70-E70))</f>
        <v>15928.9130405481</v>
      </c>
      <c r="G70" s="19" t="n">
        <f aca="false">G69+D70</f>
        <v>4273.5930405481</v>
      </c>
    </row>
    <row r="71" customFormat="false" ht="15" hidden="false" customHeight="false" outlineLevel="0" collapsed="false">
      <c r="A71" s="21" t="n">
        <v>70</v>
      </c>
      <c r="B71" s="22" t="n">
        <f aca="false">MAX(0,F70)</f>
        <v>15928.9130405481</v>
      </c>
      <c r="C71" s="22" t="n">
        <f aca="false">IF(B71&lt;=0,0,MIN('Loan Calculator'!B4,B71*(1+'Loan Calculator'!B7)))</f>
        <v>365.72</v>
      </c>
      <c r="D71" s="22" t="n">
        <f aca="false">IF(B71&lt;=0,0,B71*'Loan Calculator'!B7)</f>
        <v>36.7590300935725</v>
      </c>
      <c r="E71" s="22" t="n">
        <f aca="false">IF(B71&lt;=0,0,C71-D71)</f>
        <v>328.960969906428</v>
      </c>
      <c r="F71" s="22" t="n">
        <f aca="false">IF(B71&lt;=0,0,MAX(0,B71-E71))</f>
        <v>15599.9520706416</v>
      </c>
      <c r="G71" s="22" t="n">
        <f aca="false">G70+D71</f>
        <v>4310.35207064168</v>
      </c>
    </row>
    <row r="72" customFormat="false" ht="15" hidden="false" customHeight="false" outlineLevel="0" collapsed="false">
      <c r="A72" s="18" t="n">
        <v>71</v>
      </c>
      <c r="B72" s="19" t="n">
        <f aca="false">MAX(0,F71)</f>
        <v>15599.9520706416</v>
      </c>
      <c r="C72" s="19" t="n">
        <f aca="false">IF(B72&lt;=0,0,MIN('Loan Calculator'!B4,B72*(1+'Loan Calculator'!B7)))</f>
        <v>365.72</v>
      </c>
      <c r="D72" s="19" t="n">
        <f aca="false">IF(B72&lt;=0,0,B72*'Loan Calculator'!B7)</f>
        <v>35.9998893937884</v>
      </c>
      <c r="E72" s="19" t="n">
        <f aca="false">IF(B72&lt;=0,0,C72-D72)</f>
        <v>329.720110606212</v>
      </c>
      <c r="F72" s="19" t="n">
        <f aca="false">IF(B72&lt;=0,0,MAX(0,B72-E72))</f>
        <v>15270.2319600354</v>
      </c>
      <c r="G72" s="19" t="n">
        <f aca="false">G71+D72</f>
        <v>4346.35196003546</v>
      </c>
    </row>
    <row r="73" customFormat="false" ht="15" hidden="false" customHeight="false" outlineLevel="0" collapsed="false">
      <c r="A73" s="21" t="n">
        <v>72</v>
      </c>
      <c r="B73" s="22" t="n">
        <f aca="false">MAX(0,F72)</f>
        <v>15270.2319600354</v>
      </c>
      <c r="C73" s="22" t="n">
        <f aca="false">IF(B73&lt;=0,0,MIN('Loan Calculator'!B4,B73*(1+'Loan Calculator'!B7)))</f>
        <v>365.72</v>
      </c>
      <c r="D73" s="22" t="n">
        <f aca="false">IF(B73&lt;=0,0,B73*'Loan Calculator'!B7)</f>
        <v>35.238996830851</v>
      </c>
      <c r="E73" s="22" t="n">
        <f aca="false">IF(B73&lt;=0,0,C73-D73)</f>
        <v>330.481003169149</v>
      </c>
      <c r="F73" s="22" t="n">
        <f aca="false">IF(B73&lt;=0,0,MAX(0,B73-E73))</f>
        <v>14939.7509568663</v>
      </c>
      <c r="G73" s="22" t="n">
        <f aca="false">G72+D73</f>
        <v>4381.59095686632</v>
      </c>
    </row>
    <row r="74" customFormat="false" ht="15" hidden="false" customHeight="false" outlineLevel="0" collapsed="false">
      <c r="A74" s="18" t="n">
        <v>73</v>
      </c>
      <c r="B74" s="19" t="n">
        <f aca="false">MAX(0,F73)</f>
        <v>14939.7509568663</v>
      </c>
      <c r="C74" s="19" t="n">
        <f aca="false">IF(B74&lt;=0,0,MIN('Loan Calculator'!B4,B74*(1+'Loan Calculator'!B7)))</f>
        <v>365.72</v>
      </c>
      <c r="D74" s="19" t="n">
        <f aca="false">IF(B74&lt;=0,0,B74*'Loan Calculator'!B7)</f>
        <v>34.4763483619991</v>
      </c>
      <c r="E74" s="19" t="n">
        <f aca="false">IF(B74&lt;=0,0,C74-D74)</f>
        <v>331.243651638001</v>
      </c>
      <c r="F74" s="19" t="n">
        <f aca="false">IF(B74&lt;=0,0,MAX(0,B74-E74))</f>
        <v>14608.5073052283</v>
      </c>
      <c r="G74" s="19" t="n">
        <f aca="false">G73+D74</f>
        <v>4416.06730522831</v>
      </c>
    </row>
    <row r="75" customFormat="false" ht="15" hidden="false" customHeight="false" outlineLevel="0" collapsed="false">
      <c r="A75" s="21" t="n">
        <v>74</v>
      </c>
      <c r="B75" s="22" t="n">
        <f aca="false">MAX(0,F74)</f>
        <v>14608.5073052283</v>
      </c>
      <c r="C75" s="22" t="n">
        <f aca="false">IF(B75&lt;=0,0,MIN('Loan Calculator'!B4,B75*(1+'Loan Calculator'!B7)))</f>
        <v>365.72</v>
      </c>
      <c r="D75" s="22" t="n">
        <f aca="false">IF(B75&lt;=0,0,B75*'Loan Calculator'!B7)</f>
        <v>33.7119399351422</v>
      </c>
      <c r="E75" s="22" t="n">
        <f aca="false">IF(B75&lt;=0,0,C75-D75)</f>
        <v>332.008060064858</v>
      </c>
      <c r="F75" s="22" t="n">
        <f aca="false">IF(B75&lt;=0,0,MAX(0,B75-E75))</f>
        <v>14276.4992451634</v>
      </c>
      <c r="G75" s="22" t="n">
        <f aca="false">G74+D75</f>
        <v>4449.77924516346</v>
      </c>
    </row>
    <row r="76" customFormat="false" ht="15" hidden="false" customHeight="false" outlineLevel="0" collapsed="false">
      <c r="A76" s="18" t="n">
        <v>75</v>
      </c>
      <c r="B76" s="19" t="n">
        <f aca="false">MAX(0,F75)</f>
        <v>14276.4992451634</v>
      </c>
      <c r="C76" s="19" t="n">
        <f aca="false">IF(B76&lt;=0,0,MIN('Loan Calculator'!B4,B76*(1+'Loan Calculator'!B7)))</f>
        <v>365.72</v>
      </c>
      <c r="D76" s="19" t="n">
        <f aca="false">IF(B76&lt;=0,0,B76*'Loan Calculator'!B7)</f>
        <v>32.9457674888387</v>
      </c>
      <c r="E76" s="19" t="n">
        <f aca="false">IF(B76&lt;=0,0,C76-D76)</f>
        <v>332.774232511161</v>
      </c>
      <c r="F76" s="19" t="n">
        <f aca="false">IF(B76&lt;=0,0,MAX(0,B76-E76))</f>
        <v>13943.7250126523</v>
      </c>
      <c r="G76" s="19" t="n">
        <f aca="false">G75+D76</f>
        <v>4482.7250126523</v>
      </c>
    </row>
    <row r="77" customFormat="false" ht="15" hidden="false" customHeight="false" outlineLevel="0" collapsed="false">
      <c r="A77" s="21" t="n">
        <v>76</v>
      </c>
      <c r="B77" s="22" t="n">
        <f aca="false">MAX(0,F76)</f>
        <v>13943.7250126523</v>
      </c>
      <c r="C77" s="22" t="n">
        <f aca="false">IF(B77&lt;=0,0,MIN('Loan Calculator'!B4,B77*(1+'Loan Calculator'!B7)))</f>
        <v>365.72</v>
      </c>
      <c r="D77" s="22" t="n">
        <f aca="false">IF(B77&lt;=0,0,B77*'Loan Calculator'!B7)</f>
        <v>32.1778269522745</v>
      </c>
      <c r="E77" s="22" t="n">
        <f aca="false">IF(B77&lt;=0,0,C77-D77)</f>
        <v>333.542173047726</v>
      </c>
      <c r="F77" s="22" t="n">
        <f aca="false">IF(B77&lt;=0,0,MAX(0,B77-E77))</f>
        <v>13610.1828396045</v>
      </c>
      <c r="G77" s="22" t="n">
        <f aca="false">G76+D77</f>
        <v>4514.90283960457</v>
      </c>
    </row>
    <row r="78" customFormat="false" ht="15" hidden="false" customHeight="false" outlineLevel="0" collapsed="false">
      <c r="A78" s="18" t="n">
        <v>77</v>
      </c>
      <c r="B78" s="19" t="n">
        <f aca="false">MAX(0,F77)</f>
        <v>13610.1828396045</v>
      </c>
      <c r="C78" s="19" t="n">
        <f aca="false">IF(B78&lt;=0,0,MIN('Loan Calculator'!B4,B78*(1+'Loan Calculator'!B7)))</f>
        <v>365.72</v>
      </c>
      <c r="D78" s="19" t="n">
        <f aca="false">IF(B78&lt;=0,0,B78*'Loan Calculator'!B7)</f>
        <v>31.4081142452412</v>
      </c>
      <c r="E78" s="19" t="n">
        <f aca="false">IF(B78&lt;=0,0,C78-D78)</f>
        <v>334.311885754759</v>
      </c>
      <c r="F78" s="19" t="n">
        <f aca="false">IF(B78&lt;=0,0,MAX(0,B78-E78))</f>
        <v>13275.8709538498</v>
      </c>
      <c r="G78" s="19" t="n">
        <f aca="false">G77+D78</f>
        <v>4546.31095384981</v>
      </c>
    </row>
    <row r="79" customFormat="false" ht="15" hidden="false" customHeight="false" outlineLevel="0" collapsed="false">
      <c r="A79" s="21" t="n">
        <v>78</v>
      </c>
      <c r="B79" s="22" t="n">
        <f aca="false">MAX(0,F78)</f>
        <v>13275.8709538498</v>
      </c>
      <c r="C79" s="22" t="n">
        <f aca="false">IF(B79&lt;=0,0,MIN('Loan Calculator'!B4,B79*(1+'Loan Calculator'!B7)))</f>
        <v>365.72</v>
      </c>
      <c r="D79" s="22" t="n">
        <f aca="false">IF(B79&lt;=0,0,B79*'Loan Calculator'!B7)</f>
        <v>30.6366252781149</v>
      </c>
      <c r="E79" s="22" t="n">
        <f aca="false">IF(B79&lt;=0,0,C79-D79)</f>
        <v>335.083374721885</v>
      </c>
      <c r="F79" s="22" t="n">
        <f aca="false">IF(B79&lt;=0,0,MAX(0,B79-E79))</f>
        <v>12940.7875791279</v>
      </c>
      <c r="G79" s="22" t="n">
        <f aca="false">G78+D79</f>
        <v>4576.94757912793</v>
      </c>
    </row>
    <row r="80" customFormat="false" ht="15" hidden="false" customHeight="false" outlineLevel="0" collapsed="false">
      <c r="A80" s="18" t="n">
        <v>79</v>
      </c>
      <c r="B80" s="19" t="n">
        <f aca="false">MAX(0,F79)</f>
        <v>12940.7875791279</v>
      </c>
      <c r="C80" s="19" t="n">
        <f aca="false">IF(B80&lt;=0,0,MIN('Loan Calculator'!B4,B80*(1+'Loan Calculator'!B7)))</f>
        <v>365.72</v>
      </c>
      <c r="D80" s="19" t="n">
        <f aca="false">IF(B80&lt;=0,0,B80*'Loan Calculator'!B7)</f>
        <v>29.8633559518336</v>
      </c>
      <c r="E80" s="19" t="n">
        <f aca="false">IF(B80&lt;=0,0,C80-D80)</f>
        <v>335.856644048166</v>
      </c>
      <c r="F80" s="19" t="n">
        <f aca="false">IF(B80&lt;=0,0,MAX(0,B80-E80))</f>
        <v>12604.9309350797</v>
      </c>
      <c r="G80" s="19" t="n">
        <f aca="false">G79+D80</f>
        <v>4606.81093507976</v>
      </c>
    </row>
    <row r="81" customFormat="false" ht="15" hidden="false" customHeight="false" outlineLevel="0" collapsed="false">
      <c r="A81" s="21" t="n">
        <v>80</v>
      </c>
      <c r="B81" s="22" t="n">
        <f aca="false">MAX(0,F80)</f>
        <v>12604.9309350797</v>
      </c>
      <c r="C81" s="22" t="n">
        <f aca="false">IF(B81&lt;=0,0,MIN('Loan Calculator'!B4,B81*(1+'Loan Calculator'!B7)))</f>
        <v>365.72</v>
      </c>
      <c r="D81" s="22" t="n">
        <f aca="false">IF(B81&lt;=0,0,B81*'Loan Calculator'!B7)</f>
        <v>29.0883021578763</v>
      </c>
      <c r="E81" s="22" t="n">
        <f aca="false">IF(B81&lt;=0,0,C81-D81)</f>
        <v>336.631697842124</v>
      </c>
      <c r="F81" s="22" t="n">
        <f aca="false">IF(B81&lt;=0,0,MAX(0,B81-E81))</f>
        <v>12268.2992372376</v>
      </c>
      <c r="G81" s="22" t="n">
        <f aca="false">G80+D81</f>
        <v>4635.89923723764</v>
      </c>
    </row>
    <row r="82" customFormat="false" ht="15" hidden="false" customHeight="false" outlineLevel="0" collapsed="false">
      <c r="A82" s="18" t="n">
        <v>81</v>
      </c>
      <c r="B82" s="19" t="n">
        <f aca="false">MAX(0,F81)</f>
        <v>12268.2992372376</v>
      </c>
      <c r="C82" s="19" t="n">
        <f aca="false">IF(B82&lt;=0,0,MIN('Loan Calculator'!B4,B82*(1+'Loan Calculator'!B7)))</f>
        <v>365.72</v>
      </c>
      <c r="D82" s="19" t="n">
        <f aca="false">IF(B82&lt;=0,0,B82*'Loan Calculator'!B7)</f>
        <v>28.3114597782406</v>
      </c>
      <c r="E82" s="19" t="n">
        <f aca="false">IF(B82&lt;=0,0,C82-D82)</f>
        <v>337.408540221759</v>
      </c>
      <c r="F82" s="19" t="n">
        <f aca="false">IF(B82&lt;=0,0,MAX(0,B82-E82))</f>
        <v>11930.8906970158</v>
      </c>
      <c r="G82" s="19" t="n">
        <f aca="false">G81+D82</f>
        <v>4664.21069701588</v>
      </c>
    </row>
    <row r="83" customFormat="false" ht="15" hidden="false" customHeight="false" outlineLevel="0" collapsed="false">
      <c r="A83" s="21" t="n">
        <v>82</v>
      </c>
      <c r="B83" s="22" t="n">
        <f aca="false">MAX(0,F82)</f>
        <v>11930.8906970158</v>
      </c>
      <c r="C83" s="22" t="n">
        <f aca="false">IF(B83&lt;=0,0,MIN('Loan Calculator'!B4,B83*(1+'Loan Calculator'!B7)))</f>
        <v>365.72</v>
      </c>
      <c r="D83" s="22" t="n">
        <f aca="false">IF(B83&lt;=0,0,B83*'Loan Calculator'!B7)</f>
        <v>27.5328246854212</v>
      </c>
      <c r="E83" s="22" t="n">
        <f aca="false">IF(B83&lt;=0,0,C83-D83)</f>
        <v>338.187175314579</v>
      </c>
      <c r="F83" s="22" t="n">
        <f aca="false">IF(B83&lt;=0,0,MAX(0,B83-E83))</f>
        <v>11592.7035217013</v>
      </c>
      <c r="G83" s="22" t="n">
        <f aca="false">G82+D83</f>
        <v>4691.7435217013</v>
      </c>
    </row>
    <row r="84" customFormat="false" ht="15" hidden="false" customHeight="false" outlineLevel="0" collapsed="false">
      <c r="A84" s="18" t="n">
        <v>83</v>
      </c>
      <c r="B84" s="19" t="n">
        <f aca="false">MAX(0,F83)</f>
        <v>11592.7035217013</v>
      </c>
      <c r="C84" s="19" t="n">
        <f aca="false">IF(B84&lt;=0,0,MIN('Loan Calculator'!B4,B84*(1+'Loan Calculator'!B7)))</f>
        <v>365.72</v>
      </c>
      <c r="D84" s="19" t="n">
        <f aca="false">IF(B84&lt;=0,0,B84*'Loan Calculator'!B7)</f>
        <v>26.7523927423875</v>
      </c>
      <c r="E84" s="19" t="n">
        <f aca="false">IF(B84&lt;=0,0,C84-D84)</f>
        <v>338.967607257613</v>
      </c>
      <c r="F84" s="19" t="n">
        <f aca="false">IF(B84&lt;=0,0,MAX(0,B84-E84))</f>
        <v>11253.7359144437</v>
      </c>
      <c r="G84" s="19" t="n">
        <f aca="false">G83+D84</f>
        <v>4718.49591444369</v>
      </c>
    </row>
    <row r="85" customFormat="false" ht="15" hidden="false" customHeight="false" outlineLevel="0" collapsed="false">
      <c r="A85" s="21" t="n">
        <v>84</v>
      </c>
      <c r="B85" s="22" t="n">
        <f aca="false">MAX(0,F84)</f>
        <v>11253.7359144437</v>
      </c>
      <c r="C85" s="22" t="n">
        <f aca="false">IF(B85&lt;=0,0,MIN('Loan Calculator'!B4,B85*(1+'Loan Calculator'!B7)))</f>
        <v>365.72</v>
      </c>
      <c r="D85" s="22" t="n">
        <f aca="false">IF(B85&lt;=0,0,B85*'Loan Calculator'!B7)</f>
        <v>25.9701598025623</v>
      </c>
      <c r="E85" s="22" t="n">
        <f aca="false">IF(B85&lt;=0,0,C85-D85)</f>
        <v>339.749840197438</v>
      </c>
      <c r="F85" s="22" t="n">
        <f aca="false">IF(B85&lt;=0,0,MAX(0,B85-E85))</f>
        <v>10913.9860742462</v>
      </c>
      <c r="G85" s="22" t="n">
        <f aca="false">G84+D85</f>
        <v>4744.46607424625</v>
      </c>
    </row>
    <row r="86" customFormat="false" ht="15" hidden="false" customHeight="false" outlineLevel="0" collapsed="false">
      <c r="A86" s="18" t="n">
        <v>85</v>
      </c>
      <c r="B86" s="19" t="n">
        <f aca="false">MAX(0,F85)</f>
        <v>10913.9860742462</v>
      </c>
      <c r="C86" s="19" t="n">
        <f aca="false">IF(B86&lt;=0,0,MIN('Loan Calculator'!B4,B86*(1+'Loan Calculator'!B7)))</f>
        <v>365.72</v>
      </c>
      <c r="D86" s="19" t="n">
        <f aca="false">IF(B86&lt;=0,0,B86*'Loan Calculator'!B7)</f>
        <v>25.186121709799</v>
      </c>
      <c r="E86" s="19" t="n">
        <f aca="false">IF(B86&lt;=0,0,C86-D86)</f>
        <v>340.533878290201</v>
      </c>
      <c r="F86" s="19" t="n">
        <f aca="false">IF(B86&lt;=0,0,MAX(0,B86-E86))</f>
        <v>10573.452195956</v>
      </c>
      <c r="G86" s="19" t="n">
        <f aca="false">G85+D86</f>
        <v>4769.65219595605</v>
      </c>
    </row>
    <row r="87" customFormat="false" ht="15" hidden="false" customHeight="false" outlineLevel="0" collapsed="false">
      <c r="A87" s="21" t="n">
        <v>86</v>
      </c>
      <c r="B87" s="22" t="n">
        <f aca="false">MAX(0,F86)</f>
        <v>10573.452195956</v>
      </c>
      <c r="C87" s="22" t="n">
        <f aca="false">IF(B87&lt;=0,0,MIN('Loan Calculator'!B4,B87*(1+'Loan Calculator'!B7)))</f>
        <v>365.72</v>
      </c>
      <c r="D87" s="22" t="n">
        <f aca="false">IF(B87&lt;=0,0,B87*'Loan Calculator'!B7)</f>
        <v>24.40027429836</v>
      </c>
      <c r="E87" s="22" t="n">
        <f aca="false">IF(B87&lt;=0,0,C87-D87)</f>
        <v>341.31972570164</v>
      </c>
      <c r="F87" s="22" t="n">
        <f aca="false">IF(B87&lt;=0,0,MAX(0,B87-E87))</f>
        <v>10232.1324702544</v>
      </c>
      <c r="G87" s="22" t="n">
        <f aca="false">G86+D87</f>
        <v>4794.05247025441</v>
      </c>
    </row>
    <row r="88" customFormat="false" ht="15" hidden="false" customHeight="false" outlineLevel="0" collapsed="false">
      <c r="A88" s="18" t="n">
        <v>87</v>
      </c>
      <c r="B88" s="19" t="n">
        <f aca="false">MAX(0,F87)</f>
        <v>10232.1324702544</v>
      </c>
      <c r="C88" s="19" t="n">
        <f aca="false">IF(B88&lt;=0,0,MIN('Loan Calculator'!B4,B88*(1+'Loan Calculator'!B7)))</f>
        <v>365.72</v>
      </c>
      <c r="D88" s="19" t="n">
        <f aca="false">IF(B88&lt;=0,0,B88*'Loan Calculator'!B7)</f>
        <v>23.6126133928947</v>
      </c>
      <c r="E88" s="19" t="n">
        <f aca="false">IF(B88&lt;=0,0,C88-D88)</f>
        <v>342.107386607105</v>
      </c>
      <c r="F88" s="19" t="n">
        <f aca="false">IF(B88&lt;=0,0,MAX(0,B88-E88))</f>
        <v>9890.02508364727</v>
      </c>
      <c r="G88" s="19" t="n">
        <f aca="false">G87+D88</f>
        <v>4817.6650836473</v>
      </c>
    </row>
    <row r="89" customFormat="false" ht="15" hidden="false" customHeight="false" outlineLevel="0" collapsed="false">
      <c r="A89" s="21" t="n">
        <v>88</v>
      </c>
      <c r="B89" s="22" t="n">
        <f aca="false">MAX(0,F88)</f>
        <v>9890.02508364727</v>
      </c>
      <c r="C89" s="22" t="n">
        <f aca="false">IF(B89&lt;=0,0,MIN('Loan Calculator'!B4,B89*(1+'Loan Calculator'!B7)))</f>
        <v>365.72</v>
      </c>
      <c r="D89" s="22" t="n">
        <f aca="false">IF(B89&lt;=0,0,B89*'Loan Calculator'!B7)</f>
        <v>22.8231348084168</v>
      </c>
      <c r="E89" s="22" t="n">
        <f aca="false">IF(B89&lt;=0,0,C89-D89)</f>
        <v>342.896865191583</v>
      </c>
      <c r="F89" s="22" t="n">
        <f aca="false">IF(B89&lt;=0,0,MAX(0,B89-E89))</f>
        <v>9547.12821845569</v>
      </c>
      <c r="G89" s="22" t="n">
        <f aca="false">G88+D89</f>
        <v>4840.48821845572</v>
      </c>
    </row>
    <row r="90" customFormat="false" ht="15" hidden="false" customHeight="false" outlineLevel="0" collapsed="false">
      <c r="A90" s="18" t="n">
        <v>89</v>
      </c>
      <c r="B90" s="19" t="n">
        <f aca="false">MAX(0,F89)</f>
        <v>9547.12821845569</v>
      </c>
      <c r="C90" s="19" t="n">
        <f aca="false">IF(B90&lt;=0,0,MIN('Loan Calculator'!B4,B90*(1+'Loan Calculator'!B7)))</f>
        <v>365.72</v>
      </c>
      <c r="D90" s="19" t="n">
        <f aca="false">IF(B90&lt;=0,0,B90*'Loan Calculator'!B7)</f>
        <v>22.0318343502824</v>
      </c>
      <c r="E90" s="19" t="n">
        <f aca="false">IF(B90&lt;=0,0,C90-D90)</f>
        <v>343.688165649718</v>
      </c>
      <c r="F90" s="19" t="n">
        <f aca="false">IF(B90&lt;=0,0,MAX(0,B90-E90))</f>
        <v>9203.44005280597</v>
      </c>
      <c r="G90" s="19" t="n">
        <f aca="false">G89+D90</f>
        <v>4862.520052806</v>
      </c>
    </row>
    <row r="91" customFormat="false" ht="15" hidden="false" customHeight="false" outlineLevel="0" collapsed="false">
      <c r="A91" s="21" t="n">
        <v>90</v>
      </c>
      <c r="B91" s="22" t="n">
        <f aca="false">MAX(0,F90)</f>
        <v>9203.44005280597</v>
      </c>
      <c r="C91" s="22" t="n">
        <f aca="false">IF(B91&lt;=0,0,MIN('Loan Calculator'!B4,B91*(1+'Loan Calculator'!B7)))</f>
        <v>365.72</v>
      </c>
      <c r="D91" s="22" t="n">
        <f aca="false">IF(B91&lt;=0,0,B91*'Loan Calculator'!B7)</f>
        <v>21.2387078141676</v>
      </c>
      <c r="E91" s="22" t="n">
        <f aca="false">IF(B91&lt;=0,0,C91-D91)</f>
        <v>344.481292185832</v>
      </c>
      <c r="F91" s="22" t="n">
        <f aca="false">IF(B91&lt;=0,0,MAX(0,B91-E91))</f>
        <v>8858.95876062014</v>
      </c>
      <c r="G91" s="22" t="n">
        <f aca="false">G90+D91</f>
        <v>4883.75876062017</v>
      </c>
    </row>
    <row r="92" customFormat="false" ht="15" hidden="false" customHeight="false" outlineLevel="0" collapsed="false">
      <c r="A92" s="18" t="n">
        <v>91</v>
      </c>
      <c r="B92" s="19" t="n">
        <f aca="false">MAX(0,F91)</f>
        <v>8858.95876062014</v>
      </c>
      <c r="C92" s="19" t="n">
        <f aca="false">IF(B92&lt;=0,0,MIN('Loan Calculator'!B4,B92*(1+'Loan Calculator'!B7)))</f>
        <v>365.72</v>
      </c>
      <c r="D92" s="19" t="n">
        <f aca="false">IF(B92&lt;=0,0,B92*'Loan Calculator'!B7)</f>
        <v>20.4437509860465</v>
      </c>
      <c r="E92" s="19" t="n">
        <f aca="false">IF(B92&lt;=0,0,C92-D92)</f>
        <v>345.276249013954</v>
      </c>
      <c r="F92" s="19" t="n">
        <f aca="false">IF(B92&lt;=0,0,MAX(0,B92-E92))</f>
        <v>8513.68251160619</v>
      </c>
      <c r="G92" s="19" t="n">
        <f aca="false">G91+D92</f>
        <v>4904.20251160621</v>
      </c>
    </row>
    <row r="93" customFormat="false" ht="15" hidden="false" customHeight="false" outlineLevel="0" collapsed="false">
      <c r="A93" s="21" t="n">
        <v>92</v>
      </c>
      <c r="B93" s="22" t="n">
        <f aca="false">MAX(0,F92)</f>
        <v>8513.68251160619</v>
      </c>
      <c r="C93" s="22" t="n">
        <f aca="false">IF(B93&lt;=0,0,MIN('Loan Calculator'!B4,B93*(1+'Loan Calculator'!B7)))</f>
        <v>365.72</v>
      </c>
      <c r="D93" s="22" t="n">
        <f aca="false">IF(B93&lt;=0,0,B93*'Loan Calculator'!B7)</f>
        <v>19.6469596421681</v>
      </c>
      <c r="E93" s="22" t="n">
        <f aca="false">IF(B93&lt;=0,0,C93-D93)</f>
        <v>346.073040357832</v>
      </c>
      <c r="F93" s="22" t="n">
        <f aca="false">IF(B93&lt;=0,0,MAX(0,B93-E93))</f>
        <v>8167.60947124835</v>
      </c>
      <c r="G93" s="22" t="n">
        <f aca="false">G92+D93</f>
        <v>4923.84947124838</v>
      </c>
    </row>
    <row r="94" customFormat="false" ht="15" hidden="false" customHeight="false" outlineLevel="0" collapsed="false">
      <c r="A94" s="18" t="n">
        <v>93</v>
      </c>
      <c r="B94" s="19" t="n">
        <f aca="false">MAX(0,F93)</f>
        <v>8167.60947124835</v>
      </c>
      <c r="C94" s="19" t="n">
        <f aca="false">IF(B94&lt;=0,0,MIN('Loan Calculator'!B4,B94*(1+'Loan Calculator'!B7)))</f>
        <v>365.72</v>
      </c>
      <c r="D94" s="19" t="n">
        <f aca="false">IF(B94&lt;=0,0,B94*'Loan Calculator'!B7)</f>
        <v>18.8483295490347</v>
      </c>
      <c r="E94" s="19" t="n">
        <f aca="false">IF(B94&lt;=0,0,C94-D94)</f>
        <v>346.871670450965</v>
      </c>
      <c r="F94" s="19" t="n">
        <f aca="false">IF(B94&lt;=0,0,MAX(0,B94-E94))</f>
        <v>7820.73780079739</v>
      </c>
      <c r="G94" s="19" t="n">
        <f aca="false">G93+D94</f>
        <v>4942.69780079742</v>
      </c>
    </row>
    <row r="95" customFormat="false" ht="15" hidden="false" customHeight="false" outlineLevel="0" collapsed="false">
      <c r="A95" s="21" t="n">
        <v>94</v>
      </c>
      <c r="B95" s="22" t="n">
        <f aca="false">MAX(0,F94)</f>
        <v>7820.73780079739</v>
      </c>
      <c r="C95" s="22" t="n">
        <f aca="false">IF(B95&lt;=0,0,MIN('Loan Calculator'!B4,B95*(1+'Loan Calculator'!B7)))</f>
        <v>365.72</v>
      </c>
      <c r="D95" s="22" t="n">
        <f aca="false">IF(B95&lt;=0,0,B95*'Loan Calculator'!B7)</f>
        <v>18.0478564633786</v>
      </c>
      <c r="E95" s="22" t="n">
        <f aca="false">IF(B95&lt;=0,0,C95-D95)</f>
        <v>347.672143536621</v>
      </c>
      <c r="F95" s="22" t="n">
        <f aca="false">IF(B95&lt;=0,0,MAX(0,B95-E95))</f>
        <v>7473.06565726077</v>
      </c>
      <c r="G95" s="22" t="n">
        <f aca="false">G94+D95</f>
        <v>4960.7456572608</v>
      </c>
    </row>
    <row r="96" customFormat="false" ht="15" hidden="false" customHeight="false" outlineLevel="0" collapsed="false">
      <c r="A96" s="18" t="n">
        <v>95</v>
      </c>
      <c r="B96" s="19" t="n">
        <f aca="false">MAX(0,F95)</f>
        <v>7473.06565726077</v>
      </c>
      <c r="C96" s="19" t="n">
        <f aca="false">IF(B96&lt;=0,0,MIN('Loan Calculator'!B4,B96*(1+'Loan Calculator'!B7)))</f>
        <v>365.72</v>
      </c>
      <c r="D96" s="19" t="n">
        <f aca="false">IF(B96&lt;=0,0,B96*'Loan Calculator'!B7)</f>
        <v>17.2455361321402</v>
      </c>
      <c r="E96" s="19" t="n">
        <f aca="false">IF(B96&lt;=0,0,C96-D96)</f>
        <v>348.47446386786</v>
      </c>
      <c r="F96" s="19" t="n">
        <f aca="false">IF(B96&lt;=0,0,MAX(0,B96-E96))</f>
        <v>7124.59119339291</v>
      </c>
      <c r="G96" s="19" t="n">
        <f aca="false">G95+D96</f>
        <v>4977.99119339294</v>
      </c>
    </row>
    <row r="97" customFormat="false" ht="15" hidden="false" customHeight="false" outlineLevel="0" collapsed="false">
      <c r="A97" s="21" t="n">
        <v>96</v>
      </c>
      <c r="B97" s="22" t="n">
        <f aca="false">MAX(0,F96)</f>
        <v>7124.59119339291</v>
      </c>
      <c r="C97" s="22" t="n">
        <f aca="false">IF(B97&lt;=0,0,MIN('Loan Calculator'!B4,B97*(1+'Loan Calculator'!B7)))</f>
        <v>365.72</v>
      </c>
      <c r="D97" s="22" t="n">
        <f aca="false">IF(B97&lt;=0,0,B97*'Loan Calculator'!B7)</f>
        <v>16.4413642924452</v>
      </c>
      <c r="E97" s="22" t="n">
        <f aca="false">IF(B97&lt;=0,0,C97-D97)</f>
        <v>349.278635707555</v>
      </c>
      <c r="F97" s="22" t="n">
        <f aca="false">IF(B97&lt;=0,0,MAX(0,B97-E97))</f>
        <v>6775.31255768535</v>
      </c>
      <c r="G97" s="22" t="n">
        <f aca="false">G96+D97</f>
        <v>4994.43255768538</v>
      </c>
    </row>
    <row r="98" customFormat="false" ht="15" hidden="false" customHeight="false" outlineLevel="0" collapsed="false">
      <c r="A98" s="18" t="n">
        <v>97</v>
      </c>
      <c r="B98" s="19" t="n">
        <f aca="false">MAX(0,F97)</f>
        <v>6775.31255768535</v>
      </c>
      <c r="C98" s="19" t="n">
        <f aca="false">IF(B98&lt;=0,0,MIN('Loan Calculator'!B4,B98*(1+'Loan Calculator'!B7)))</f>
        <v>365.72</v>
      </c>
      <c r="D98" s="19" t="n">
        <f aca="false">IF(B98&lt;=0,0,B98*'Loan Calculator'!B7)</f>
        <v>15.6353366715816</v>
      </c>
      <c r="E98" s="19" t="n">
        <f aca="false">IF(B98&lt;=0,0,C98-D98)</f>
        <v>350.084663328418</v>
      </c>
      <c r="F98" s="19" t="n">
        <f aca="false">IF(B98&lt;=0,0,MAX(0,B98-E98))</f>
        <v>6425.22789435693</v>
      </c>
      <c r="G98" s="19" t="n">
        <f aca="false">G97+D98</f>
        <v>5010.06789435696</v>
      </c>
    </row>
    <row r="99" customFormat="false" ht="15" hidden="false" customHeight="false" outlineLevel="0" collapsed="false">
      <c r="A99" s="21" t="n">
        <v>98</v>
      </c>
      <c r="B99" s="22" t="n">
        <f aca="false">MAX(0,F98)</f>
        <v>6425.22789435693</v>
      </c>
      <c r="C99" s="22" t="n">
        <f aca="false">IF(B99&lt;=0,0,MIN('Loan Calculator'!B4,B99*(1+'Loan Calculator'!B7)))</f>
        <v>365.72</v>
      </c>
      <c r="D99" s="22" t="n">
        <f aca="false">IF(B99&lt;=0,0,B99*'Loan Calculator'!B7)</f>
        <v>14.8274489869775</v>
      </c>
      <c r="E99" s="22" t="n">
        <f aca="false">IF(B99&lt;=0,0,C99-D99)</f>
        <v>350.892551013023</v>
      </c>
      <c r="F99" s="22" t="n">
        <f aca="false">IF(B99&lt;=0,0,MAX(0,B99-E99))</f>
        <v>6074.33534334391</v>
      </c>
      <c r="G99" s="22" t="n">
        <f aca="false">G98+D99</f>
        <v>5024.89534334394</v>
      </c>
    </row>
    <row r="100" customFormat="false" ht="15" hidden="false" customHeight="false" outlineLevel="0" collapsed="false">
      <c r="A100" s="18" t="n">
        <v>99</v>
      </c>
      <c r="B100" s="19" t="n">
        <f aca="false">MAX(0,F99)</f>
        <v>6074.33534334391</v>
      </c>
      <c r="C100" s="19" t="n">
        <f aca="false">IF(B100&lt;=0,0,MIN('Loan Calculator'!B4,B100*(1+'Loan Calculator'!B7)))</f>
        <v>365.72</v>
      </c>
      <c r="D100" s="19" t="n">
        <f aca="false">IF(B100&lt;=0,0,B100*'Loan Calculator'!B7)</f>
        <v>14.0176969461783</v>
      </c>
      <c r="E100" s="19" t="n">
        <f aca="false">IF(B100&lt;=0,0,C100-D100)</f>
        <v>351.702303053822</v>
      </c>
      <c r="F100" s="19" t="n">
        <f aca="false">IF(B100&lt;=0,0,MAX(0,B100-E100))</f>
        <v>5722.63304029009</v>
      </c>
      <c r="G100" s="19" t="n">
        <f aca="false">G99+D100</f>
        <v>5038.91304029012</v>
      </c>
    </row>
    <row r="101" customFormat="false" ht="15" hidden="false" customHeight="false" outlineLevel="0" collapsed="false">
      <c r="A101" s="21" t="n">
        <v>100</v>
      </c>
      <c r="B101" s="22" t="n">
        <f aca="false">MAX(0,F100)</f>
        <v>5722.63304029009</v>
      </c>
      <c r="C101" s="22" t="n">
        <f aca="false">IF(B101&lt;=0,0,MIN('Loan Calculator'!B4,B101*(1+'Loan Calculator'!B7)))</f>
        <v>365.72</v>
      </c>
      <c r="D101" s="22" t="n">
        <f aca="false">IF(B101&lt;=0,0,B101*'Loan Calculator'!B7)</f>
        <v>13.2060762468233</v>
      </c>
      <c r="E101" s="22" t="n">
        <f aca="false">IF(B101&lt;=0,0,C101-D101)</f>
        <v>352.513923753177</v>
      </c>
      <c r="F101" s="22" t="n">
        <f aca="false">IF(B101&lt;=0,0,MAX(0,B101-E101))</f>
        <v>5370.11911653691</v>
      </c>
      <c r="G101" s="22" t="n">
        <f aca="false">G100+D101</f>
        <v>5052.11911653694</v>
      </c>
    </row>
    <row r="102" customFormat="false" ht="15" hidden="false" customHeight="false" outlineLevel="0" collapsed="false">
      <c r="A102" s="18" t="n">
        <v>101</v>
      </c>
      <c r="B102" s="19" t="n">
        <f aca="false">MAX(0,F101)</f>
        <v>5370.11911653691</v>
      </c>
      <c r="C102" s="19" t="n">
        <f aca="false">IF(B102&lt;=0,0,MIN('Loan Calculator'!B4,B102*(1+'Loan Calculator'!B7)))</f>
        <v>365.72</v>
      </c>
      <c r="D102" s="19" t="n">
        <f aca="false">IF(B102&lt;=0,0,B102*'Loan Calculator'!B7)</f>
        <v>12.3925825766236</v>
      </c>
      <c r="E102" s="19" t="n">
        <f aca="false">IF(B102&lt;=0,0,C102-D102)</f>
        <v>353.327417423376</v>
      </c>
      <c r="F102" s="19" t="n">
        <f aca="false">IF(B102&lt;=0,0,MAX(0,B102-E102))</f>
        <v>5016.79169911354</v>
      </c>
      <c r="G102" s="19" t="n">
        <f aca="false">G101+D102</f>
        <v>5064.51169911357</v>
      </c>
    </row>
    <row r="103" customFormat="false" ht="15" hidden="false" customHeight="false" outlineLevel="0" collapsed="false">
      <c r="A103" s="21" t="n">
        <v>102</v>
      </c>
      <c r="B103" s="22" t="n">
        <f aca="false">MAX(0,F102)</f>
        <v>5016.79169911354</v>
      </c>
      <c r="C103" s="22" t="n">
        <f aca="false">IF(B103&lt;=0,0,MIN('Loan Calculator'!B4,B103*(1+'Loan Calculator'!B7)))</f>
        <v>365.72</v>
      </c>
      <c r="D103" s="22" t="n">
        <f aca="false">IF(B103&lt;=0,0,B103*'Loan Calculator'!B7)</f>
        <v>11.5772116133389</v>
      </c>
      <c r="E103" s="22" t="n">
        <f aca="false">IF(B103&lt;=0,0,C103-D103)</f>
        <v>354.142788386661</v>
      </c>
      <c r="F103" s="22" t="n">
        <f aca="false">IF(B103&lt;=0,0,MAX(0,B103-E103))</f>
        <v>4662.64891072688</v>
      </c>
      <c r="G103" s="22" t="n">
        <f aca="false">G102+D103</f>
        <v>5076.0889107269</v>
      </c>
    </row>
    <row r="104" customFormat="false" ht="15" hidden="false" customHeight="false" outlineLevel="0" collapsed="false">
      <c r="A104" s="18" t="n">
        <v>103</v>
      </c>
      <c r="B104" s="19" t="n">
        <f aca="false">MAX(0,F103)</f>
        <v>4662.64891072688</v>
      </c>
      <c r="C104" s="19" t="n">
        <f aca="false">IF(B104&lt;=0,0,MIN('Loan Calculator'!B4,B104*(1+'Loan Calculator'!B7)))</f>
        <v>365.72</v>
      </c>
      <c r="D104" s="19" t="n">
        <f aca="false">IF(B104&lt;=0,0,B104*'Loan Calculator'!B7)</f>
        <v>10.7599590247543</v>
      </c>
      <c r="E104" s="19" t="n">
        <f aca="false">IF(B104&lt;=0,0,C104-D104)</f>
        <v>354.960040975246</v>
      </c>
      <c r="F104" s="19" t="n">
        <f aca="false">IF(B104&lt;=0,0,MAX(0,B104-E104))</f>
        <v>4307.68886975163</v>
      </c>
      <c r="G104" s="19" t="n">
        <f aca="false">G103+D104</f>
        <v>5086.84886975166</v>
      </c>
    </row>
    <row r="105" customFormat="false" ht="15" hidden="false" customHeight="false" outlineLevel="0" collapsed="false">
      <c r="A105" s="21" t="n">
        <v>104</v>
      </c>
      <c r="B105" s="22" t="n">
        <f aca="false">MAX(0,F104)</f>
        <v>4307.68886975163</v>
      </c>
      <c r="C105" s="22" t="n">
        <f aca="false">IF(B105&lt;=0,0,MIN('Loan Calculator'!B4,B105*(1+'Loan Calculator'!B7)))</f>
        <v>365.72</v>
      </c>
      <c r="D105" s="22" t="n">
        <f aca="false">IF(B105&lt;=0,0,B105*'Loan Calculator'!B7)</f>
        <v>9.94082046865761</v>
      </c>
      <c r="E105" s="22" t="n">
        <f aca="false">IF(B105&lt;=0,0,C105-D105)</f>
        <v>355.779179531342</v>
      </c>
      <c r="F105" s="22" t="n">
        <f aca="false">IF(B105&lt;=0,0,MAX(0,B105-E105))</f>
        <v>3951.90969022029</v>
      </c>
      <c r="G105" s="22" t="n">
        <f aca="false">G104+D105</f>
        <v>5096.78969022032</v>
      </c>
    </row>
    <row r="106" customFormat="false" ht="15" hidden="false" customHeight="false" outlineLevel="0" collapsed="false">
      <c r="A106" s="18" t="n">
        <v>105</v>
      </c>
      <c r="B106" s="19" t="n">
        <f aca="false">MAX(0,F105)</f>
        <v>3951.90969022029</v>
      </c>
      <c r="C106" s="19" t="n">
        <f aca="false">IF(B106&lt;=0,0,MIN('Loan Calculator'!B4,B106*(1+'Loan Calculator'!B7)))</f>
        <v>365.72</v>
      </c>
      <c r="D106" s="19" t="n">
        <f aca="false">IF(B106&lt;=0,0,B106*'Loan Calculator'!B7)</f>
        <v>9.11979159281605</v>
      </c>
      <c r="E106" s="19" t="n">
        <f aca="false">IF(B106&lt;=0,0,C106-D106)</f>
        <v>356.600208407184</v>
      </c>
      <c r="F106" s="19" t="n">
        <f aca="false">IF(B106&lt;=0,0,MAX(0,B106-E106))</f>
        <v>3595.3094818131</v>
      </c>
      <c r="G106" s="19" t="n">
        <f aca="false">G105+D106</f>
        <v>5105.90948181313</v>
      </c>
    </row>
    <row r="107" customFormat="false" ht="15" hidden="false" customHeight="false" outlineLevel="0" collapsed="false">
      <c r="A107" s="21" t="n">
        <v>106</v>
      </c>
      <c r="B107" s="22" t="n">
        <f aca="false">MAX(0,F106)</f>
        <v>3595.3094818131</v>
      </c>
      <c r="C107" s="22" t="n">
        <f aca="false">IF(B107&lt;=0,0,MIN('Loan Calculator'!B4,B107*(1+'Loan Calculator'!B7)))</f>
        <v>365.72</v>
      </c>
      <c r="D107" s="22" t="n">
        <f aca="false">IF(B107&lt;=0,0,B107*'Loan Calculator'!B7)</f>
        <v>8.29686803495332</v>
      </c>
      <c r="E107" s="22" t="n">
        <f aca="false">IF(B107&lt;=0,0,C107-D107)</f>
        <v>357.423131965047</v>
      </c>
      <c r="F107" s="22" t="n">
        <f aca="false">IF(B107&lt;=0,0,MAX(0,B107-E107))</f>
        <v>3237.88634984806</v>
      </c>
      <c r="G107" s="22" t="n">
        <f aca="false">G106+D107</f>
        <v>5114.20634984809</v>
      </c>
    </row>
    <row r="108" customFormat="false" ht="15" hidden="false" customHeight="false" outlineLevel="0" collapsed="false">
      <c r="A108" s="18" t="n">
        <v>107</v>
      </c>
      <c r="B108" s="19" t="n">
        <f aca="false">MAX(0,F107)</f>
        <v>3237.88634984806</v>
      </c>
      <c r="C108" s="19" t="n">
        <f aca="false">IF(B108&lt;=0,0,MIN('Loan Calculator'!B4,B108*(1+'Loan Calculator'!B7)))</f>
        <v>365.72</v>
      </c>
      <c r="D108" s="19" t="n">
        <f aca="false">IF(B108&lt;=0,0,B108*'Loan Calculator'!B7)</f>
        <v>7.47204542272629</v>
      </c>
      <c r="E108" s="19" t="n">
        <f aca="false">IF(B108&lt;=0,0,C108-D108)</f>
        <v>358.247954577274</v>
      </c>
      <c r="F108" s="19" t="n">
        <f aca="false">IF(B108&lt;=0,0,MAX(0,B108-E108))</f>
        <v>2879.63839527078</v>
      </c>
      <c r="G108" s="19" t="n">
        <f aca="false">G107+D108</f>
        <v>5121.67839527081</v>
      </c>
    </row>
    <row r="109" customFormat="false" ht="15" hidden="false" customHeight="false" outlineLevel="0" collapsed="false">
      <c r="A109" s="21" t="n">
        <v>108</v>
      </c>
      <c r="B109" s="22" t="n">
        <f aca="false">MAX(0,F108)</f>
        <v>2879.63839527078</v>
      </c>
      <c r="C109" s="22" t="n">
        <f aca="false">IF(B109&lt;=0,0,MIN('Loan Calculator'!B4,B109*(1+'Loan Calculator'!B7)))</f>
        <v>365.72</v>
      </c>
      <c r="D109" s="22" t="n">
        <f aca="false">IF(B109&lt;=0,0,B109*'Loan Calculator'!B7)</f>
        <v>6.64531937370181</v>
      </c>
      <c r="E109" s="22" t="n">
        <f aca="false">IF(B109&lt;=0,0,C109-D109)</f>
        <v>359.074680626298</v>
      </c>
      <c r="F109" s="22" t="n">
        <f aca="false">IF(B109&lt;=0,0,MAX(0,B109-E109))</f>
        <v>2520.56371464448</v>
      </c>
      <c r="G109" s="22" t="n">
        <f aca="false">G108+D109</f>
        <v>5128.32371464451</v>
      </c>
    </row>
    <row r="110" customFormat="false" ht="15" hidden="false" customHeight="false" outlineLevel="0" collapsed="false">
      <c r="A110" s="18" t="n">
        <v>109</v>
      </c>
      <c r="B110" s="19" t="n">
        <f aca="false">MAX(0,F109)</f>
        <v>2520.56371464448</v>
      </c>
      <c r="C110" s="19" t="n">
        <f aca="false">IF(B110&lt;=0,0,MIN('Loan Calculator'!B4,B110*(1+'Loan Calculator'!B7)))</f>
        <v>365.72</v>
      </c>
      <c r="D110" s="19" t="n">
        <f aca="false">IF(B110&lt;=0,0,B110*'Loan Calculator'!B7)</f>
        <v>5.81668549533343</v>
      </c>
      <c r="E110" s="19" t="n">
        <f aca="false">IF(B110&lt;=0,0,C110-D110)</f>
        <v>359.903314504667</v>
      </c>
      <c r="F110" s="19" t="n">
        <f aca="false">IF(B110&lt;=0,0,MAX(0,B110-E110))</f>
        <v>2160.66040013982</v>
      </c>
      <c r="G110" s="19" t="n">
        <f aca="false">G109+D110</f>
        <v>5134.14040013985</v>
      </c>
    </row>
    <row r="111" customFormat="false" ht="15" hidden="false" customHeight="false" outlineLevel="0" collapsed="false">
      <c r="A111" s="21" t="n">
        <v>110</v>
      </c>
      <c r="B111" s="22" t="n">
        <f aca="false">MAX(0,F110)</f>
        <v>2160.66040013982</v>
      </c>
      <c r="C111" s="22" t="n">
        <f aca="false">IF(B111&lt;=0,0,MIN('Loan Calculator'!B4,B111*(1+'Loan Calculator'!B7)))</f>
        <v>365.72</v>
      </c>
      <c r="D111" s="22" t="n">
        <f aca="false">IF(B111&lt;=0,0,B111*'Loan Calculator'!B7)</f>
        <v>4.98613938493804</v>
      </c>
      <c r="E111" s="22" t="n">
        <f aca="false">IF(B111&lt;=0,0,C111-D111)</f>
        <v>360.733860615062</v>
      </c>
      <c r="F111" s="22" t="n">
        <f aca="false">IF(B111&lt;=0,0,MAX(0,B111-E111))</f>
        <v>1799.92653952476</v>
      </c>
      <c r="G111" s="22" t="n">
        <f aca="false">G110+D111</f>
        <v>5139.12653952479</v>
      </c>
    </row>
    <row r="112" customFormat="false" ht="15" hidden="false" customHeight="false" outlineLevel="0" collapsed="false">
      <c r="A112" s="18" t="n">
        <v>111</v>
      </c>
      <c r="B112" s="19" t="n">
        <f aca="false">MAX(0,F111)</f>
        <v>1799.92653952476</v>
      </c>
      <c r="C112" s="19" t="n">
        <f aca="false">IF(B112&lt;=0,0,MIN('Loan Calculator'!B4,B112*(1+'Loan Calculator'!B7)))</f>
        <v>365.72</v>
      </c>
      <c r="D112" s="19" t="n">
        <f aca="false">IF(B112&lt;=0,0,B112*'Loan Calculator'!B7)</f>
        <v>4.15367662967251</v>
      </c>
      <c r="E112" s="19" t="n">
        <f aca="false">IF(B112&lt;=0,0,C112-D112)</f>
        <v>361.566323370328</v>
      </c>
      <c r="F112" s="19" t="n">
        <f aca="false">IF(B112&lt;=0,0,MAX(0,B112-E112))</f>
        <v>1438.36021615443</v>
      </c>
      <c r="G112" s="19" t="n">
        <f aca="false">G111+D112</f>
        <v>5143.28021615446</v>
      </c>
    </row>
    <row r="113" customFormat="false" ht="15" hidden="false" customHeight="false" outlineLevel="0" collapsed="false">
      <c r="A113" s="21" t="n">
        <v>112</v>
      </c>
      <c r="B113" s="22" t="n">
        <f aca="false">MAX(0,F112)</f>
        <v>1438.36021615443</v>
      </c>
      <c r="C113" s="22" t="n">
        <f aca="false">IF(B113&lt;=0,0,MIN('Loan Calculator'!B4,B113*(1+'Loan Calculator'!B7)))</f>
        <v>365.72</v>
      </c>
      <c r="D113" s="22" t="n">
        <f aca="false">IF(B113&lt;=0,0,B113*'Loan Calculator'!B7)</f>
        <v>3.31929280651022</v>
      </c>
      <c r="E113" s="22" t="n">
        <f aca="false">IF(B113&lt;=0,0,C113-D113)</f>
        <v>362.40070719349</v>
      </c>
      <c r="F113" s="22" t="n">
        <f aca="false">IF(B113&lt;=0,0,MAX(0,B113-E113))</f>
        <v>1075.95950896094</v>
      </c>
      <c r="G113" s="22" t="n">
        <f aca="false">G112+D113</f>
        <v>5146.59950896097</v>
      </c>
    </row>
    <row r="114" customFormat="false" ht="15" hidden="false" customHeight="false" outlineLevel="0" collapsed="false">
      <c r="A114" s="18" t="n">
        <v>113</v>
      </c>
      <c r="B114" s="19" t="n">
        <f aca="false">MAX(0,F113)</f>
        <v>1075.95950896094</v>
      </c>
      <c r="C114" s="19" t="n">
        <f aca="false">IF(B114&lt;=0,0,MIN('Loan Calculator'!B4,B114*(1+'Loan Calculator'!B7)))</f>
        <v>365.72</v>
      </c>
      <c r="D114" s="19" t="n">
        <f aca="false">IF(B114&lt;=0,0,B114*'Loan Calculator'!B7)</f>
        <v>2.48298348221755</v>
      </c>
      <c r="E114" s="19" t="n">
        <f aca="false">IF(B114&lt;=0,0,C114-D114)</f>
        <v>363.237016517783</v>
      </c>
      <c r="F114" s="19" t="n">
        <f aca="false">IF(B114&lt;=0,0,MAX(0,B114-E114))</f>
        <v>712.722492443156</v>
      </c>
      <c r="G114" s="19" t="n">
        <f aca="false">G113+D114</f>
        <v>5149.08249244318</v>
      </c>
    </row>
    <row r="115" customFormat="false" ht="15" hidden="false" customHeight="false" outlineLevel="0" collapsed="false">
      <c r="A115" s="21" t="n">
        <v>114</v>
      </c>
      <c r="B115" s="22" t="n">
        <f aca="false">MAX(0,F114)</f>
        <v>712.722492443156</v>
      </c>
      <c r="C115" s="22" t="n">
        <f aca="false">IF(B115&lt;=0,0,MIN('Loan Calculator'!B4,B115*(1+'Loan Calculator'!B7)))</f>
        <v>365.72</v>
      </c>
      <c r="D115" s="22" t="n">
        <f aca="false">IF(B115&lt;=0,0,B115*'Loan Calculator'!B7)</f>
        <v>1.64474421333036</v>
      </c>
      <c r="E115" s="22" t="n">
        <f aca="false">IF(B115&lt;=0,0,C115-D115)</f>
        <v>364.07525578667</v>
      </c>
      <c r="F115" s="22" t="n">
        <f aca="false">IF(B115&lt;=0,0,MAX(0,B115-E115))</f>
        <v>348.647236656487</v>
      </c>
      <c r="G115" s="22" t="n">
        <f aca="false">G114+D115</f>
        <v>5150.72723665652</v>
      </c>
    </row>
    <row r="116" customFormat="false" ht="15" hidden="false" customHeight="false" outlineLevel="0" collapsed="false">
      <c r="A116" s="18" t="n">
        <v>115</v>
      </c>
      <c r="B116" s="19" t="n">
        <f aca="false">MAX(0,F115)</f>
        <v>348.647236656487</v>
      </c>
      <c r="C116" s="19" t="n">
        <f aca="false">IF(B116&lt;=0,0,MIN('Loan Calculator'!B4,B116*(1+'Loan Calculator'!B7)))</f>
        <v>349.451807202617</v>
      </c>
      <c r="D116" s="19" t="n">
        <f aca="false">IF(B116&lt;=0,0,B116*'Loan Calculator'!B7)</f>
        <v>0.804570546130354</v>
      </c>
      <c r="E116" s="19" t="n">
        <f aca="false">IF(B116&lt;=0,0,C116-D116)</f>
        <v>348.647236656487</v>
      </c>
      <c r="F116" s="19" t="n">
        <f aca="false">IF(B116&lt;=0,0,MAX(0,B116-E116))</f>
        <v>0</v>
      </c>
      <c r="G116" s="19" t="n">
        <f aca="false">G115+D116</f>
        <v>5151.53180720265</v>
      </c>
    </row>
    <row r="117" customFormat="false" ht="15" hidden="false" customHeight="false" outlineLevel="0" collapsed="false">
      <c r="A117" s="21" t="n">
        <v>116</v>
      </c>
      <c r="B117" s="22" t="n">
        <f aca="false">MAX(0,F116)</f>
        <v>0</v>
      </c>
      <c r="C117" s="22" t="n">
        <f aca="false">IF(B117&lt;=0,0,MIN('Loan Calculator'!B4,B117*(1+'Loan Calculator'!B7)))</f>
        <v>0</v>
      </c>
      <c r="D117" s="22" t="n">
        <f aca="false">IF(B117&lt;=0,0,B117*'Loan Calculator'!B7)</f>
        <v>0</v>
      </c>
      <c r="E117" s="22" t="n">
        <f aca="false">IF(B117&lt;=0,0,C117-D117)</f>
        <v>0</v>
      </c>
      <c r="F117" s="22" t="n">
        <f aca="false">IF(B117&lt;=0,0,MAX(0,B117-E117))</f>
        <v>0</v>
      </c>
      <c r="G117" s="22" t="n">
        <f aca="false">G116+D117</f>
        <v>5151.53180720265</v>
      </c>
    </row>
    <row r="118" customFormat="false" ht="15" hidden="false" customHeight="false" outlineLevel="0" collapsed="false">
      <c r="A118" s="18" t="n">
        <v>117</v>
      </c>
      <c r="B118" s="19" t="n">
        <f aca="false">MAX(0,F117)</f>
        <v>0</v>
      </c>
      <c r="C118" s="19" t="n">
        <f aca="false">IF(B118&lt;=0,0,MIN('Loan Calculator'!B4,B118*(1+'Loan Calculator'!B7)))</f>
        <v>0</v>
      </c>
      <c r="D118" s="19" t="n">
        <f aca="false">IF(B118&lt;=0,0,B118*'Loan Calculator'!B7)</f>
        <v>0</v>
      </c>
      <c r="E118" s="19" t="n">
        <f aca="false">IF(B118&lt;=0,0,C118-D118)</f>
        <v>0</v>
      </c>
      <c r="F118" s="19" t="n">
        <f aca="false">IF(B118&lt;=0,0,MAX(0,B118-E118))</f>
        <v>0</v>
      </c>
      <c r="G118" s="19" t="n">
        <f aca="false">G117+D118</f>
        <v>5151.53180720265</v>
      </c>
    </row>
    <row r="119" customFormat="false" ht="15" hidden="false" customHeight="false" outlineLevel="0" collapsed="false">
      <c r="A119" s="21" t="n">
        <v>118</v>
      </c>
      <c r="B119" s="22" t="n">
        <f aca="false">MAX(0,F118)</f>
        <v>0</v>
      </c>
      <c r="C119" s="22" t="n">
        <f aca="false">IF(B119&lt;=0,0,MIN('Loan Calculator'!B4,B119*(1+'Loan Calculator'!B7)))</f>
        <v>0</v>
      </c>
      <c r="D119" s="22" t="n">
        <f aca="false">IF(B119&lt;=0,0,B119*'Loan Calculator'!B7)</f>
        <v>0</v>
      </c>
      <c r="E119" s="22" t="n">
        <f aca="false">IF(B119&lt;=0,0,C119-D119)</f>
        <v>0</v>
      </c>
      <c r="F119" s="22" t="n">
        <f aca="false">IF(B119&lt;=0,0,MAX(0,B119-E119))</f>
        <v>0</v>
      </c>
      <c r="G119" s="22" t="n">
        <f aca="false">G118+D119</f>
        <v>5151.53180720265</v>
      </c>
    </row>
    <row r="120" customFormat="false" ht="15" hidden="false" customHeight="false" outlineLevel="0" collapsed="false">
      <c r="A120" s="18" t="n">
        <v>119</v>
      </c>
      <c r="B120" s="19" t="n">
        <f aca="false">MAX(0,F119)</f>
        <v>0</v>
      </c>
      <c r="C120" s="19" t="n">
        <f aca="false">IF(B120&lt;=0,0,MIN('Loan Calculator'!B4,B120*(1+'Loan Calculator'!B7)))</f>
        <v>0</v>
      </c>
      <c r="D120" s="19" t="n">
        <f aca="false">IF(B120&lt;=0,0,B120*'Loan Calculator'!B7)</f>
        <v>0</v>
      </c>
      <c r="E120" s="19" t="n">
        <f aca="false">IF(B120&lt;=0,0,C120-D120)</f>
        <v>0</v>
      </c>
      <c r="F120" s="19" t="n">
        <f aca="false">IF(B120&lt;=0,0,MAX(0,B120-E120))</f>
        <v>0</v>
      </c>
      <c r="G120" s="19" t="n">
        <f aca="false">G119+D120</f>
        <v>5151.53180720265</v>
      </c>
    </row>
    <row r="121" customFormat="false" ht="15" hidden="false" customHeight="false" outlineLevel="0" collapsed="false">
      <c r="A121" s="21" t="n">
        <v>120</v>
      </c>
      <c r="B121" s="22" t="n">
        <f aca="false">MAX(0,F120)</f>
        <v>0</v>
      </c>
      <c r="C121" s="22" t="n">
        <f aca="false">IF(B121&lt;=0,0,MIN('Loan Calculator'!B4,B121*(1+'Loan Calculator'!B7)))</f>
        <v>0</v>
      </c>
      <c r="D121" s="22" t="n">
        <f aca="false">IF(B121&lt;=0,0,B121*'Loan Calculator'!B7)</f>
        <v>0</v>
      </c>
      <c r="E121" s="22" t="n">
        <f aca="false">IF(B121&lt;=0,0,C121-D121)</f>
        <v>0</v>
      </c>
      <c r="F121" s="22" t="n">
        <f aca="false">IF(B121&lt;=0,0,MAX(0,B121-E121))</f>
        <v>0</v>
      </c>
      <c r="G121" s="22" t="n">
        <f aca="false">G120+D121</f>
        <v>5151.53180720265</v>
      </c>
    </row>
    <row r="122" customFormat="false" ht="15" hidden="false" customHeight="false" outlineLevel="0" collapsed="false">
      <c r="A122" s="18" t="n">
        <v>121</v>
      </c>
      <c r="B122" s="19" t="n">
        <f aca="false">MAX(0,F121)</f>
        <v>0</v>
      </c>
      <c r="C122" s="19" t="n">
        <f aca="false">IF(B122&lt;=0,0,MIN('Loan Calculator'!B4,B122*(1+'Loan Calculator'!B7)))</f>
        <v>0</v>
      </c>
      <c r="D122" s="19" t="n">
        <f aca="false">IF(B122&lt;=0,0,B122*'Loan Calculator'!B7)</f>
        <v>0</v>
      </c>
      <c r="E122" s="19" t="n">
        <f aca="false">IF(B122&lt;=0,0,C122-D122)</f>
        <v>0</v>
      </c>
      <c r="F122" s="19" t="n">
        <f aca="false">IF(B122&lt;=0,0,MAX(0,B122-E122))</f>
        <v>0</v>
      </c>
      <c r="G122" s="19" t="n">
        <f aca="false">G121+D122</f>
        <v>5151.53180720265</v>
      </c>
    </row>
    <row r="123" customFormat="false" ht="15" hidden="false" customHeight="false" outlineLevel="0" collapsed="false">
      <c r="A123" s="21" t="n">
        <v>122</v>
      </c>
      <c r="B123" s="22" t="n">
        <f aca="false">MAX(0,F122)</f>
        <v>0</v>
      </c>
      <c r="C123" s="22" t="n">
        <f aca="false">IF(B123&lt;=0,0,MIN('Loan Calculator'!B4,B123*(1+'Loan Calculator'!B7)))</f>
        <v>0</v>
      </c>
      <c r="D123" s="22" t="n">
        <f aca="false">IF(B123&lt;=0,0,B123*'Loan Calculator'!B7)</f>
        <v>0</v>
      </c>
      <c r="E123" s="22" t="n">
        <f aca="false">IF(B123&lt;=0,0,C123-D123)</f>
        <v>0</v>
      </c>
      <c r="F123" s="22" t="n">
        <f aca="false">IF(B123&lt;=0,0,MAX(0,B123-E123))</f>
        <v>0</v>
      </c>
      <c r="G123" s="22" t="n">
        <f aca="false">G122+D123</f>
        <v>5151.53180720265</v>
      </c>
    </row>
    <row r="124" customFormat="false" ht="15" hidden="false" customHeight="false" outlineLevel="0" collapsed="false">
      <c r="A124" s="18" t="n">
        <v>123</v>
      </c>
      <c r="B124" s="19" t="n">
        <f aca="false">MAX(0,F123)</f>
        <v>0</v>
      </c>
      <c r="C124" s="19" t="n">
        <f aca="false">IF(B124&lt;=0,0,MIN('Loan Calculator'!B4,B124*(1+'Loan Calculator'!B7)))</f>
        <v>0</v>
      </c>
      <c r="D124" s="19" t="n">
        <f aca="false">IF(B124&lt;=0,0,B124*'Loan Calculator'!B7)</f>
        <v>0</v>
      </c>
      <c r="E124" s="19" t="n">
        <f aca="false">IF(B124&lt;=0,0,C124-D124)</f>
        <v>0</v>
      </c>
      <c r="F124" s="19" t="n">
        <f aca="false">IF(B124&lt;=0,0,MAX(0,B124-E124))</f>
        <v>0</v>
      </c>
      <c r="G124" s="19" t="n">
        <f aca="false">G123+D124</f>
        <v>5151.53180720265</v>
      </c>
    </row>
    <row r="125" customFormat="false" ht="15" hidden="false" customHeight="false" outlineLevel="0" collapsed="false">
      <c r="A125" s="21" t="n">
        <v>124</v>
      </c>
      <c r="B125" s="22" t="n">
        <f aca="false">MAX(0,F124)</f>
        <v>0</v>
      </c>
      <c r="C125" s="22" t="n">
        <f aca="false">IF(B125&lt;=0,0,MIN('Loan Calculator'!B4,B125*(1+'Loan Calculator'!B7)))</f>
        <v>0</v>
      </c>
      <c r="D125" s="22" t="n">
        <f aca="false">IF(B125&lt;=0,0,B125*'Loan Calculator'!B7)</f>
        <v>0</v>
      </c>
      <c r="E125" s="22" t="n">
        <f aca="false">IF(B125&lt;=0,0,C125-D125)</f>
        <v>0</v>
      </c>
      <c r="F125" s="22" t="n">
        <f aca="false">IF(B125&lt;=0,0,MAX(0,B125-E125))</f>
        <v>0</v>
      </c>
      <c r="G125" s="22" t="n">
        <f aca="false">G124+D125</f>
        <v>5151.53180720265</v>
      </c>
    </row>
    <row r="126" customFormat="false" ht="15" hidden="false" customHeight="false" outlineLevel="0" collapsed="false">
      <c r="A126" s="18" t="n">
        <v>125</v>
      </c>
      <c r="B126" s="19" t="n">
        <f aca="false">MAX(0,F125)</f>
        <v>0</v>
      </c>
      <c r="C126" s="19" t="n">
        <f aca="false">IF(B126&lt;=0,0,MIN('Loan Calculator'!B4,B126*(1+'Loan Calculator'!B7)))</f>
        <v>0</v>
      </c>
      <c r="D126" s="19" t="n">
        <f aca="false">IF(B126&lt;=0,0,B126*'Loan Calculator'!B7)</f>
        <v>0</v>
      </c>
      <c r="E126" s="19" t="n">
        <f aca="false">IF(B126&lt;=0,0,C126-D126)</f>
        <v>0</v>
      </c>
      <c r="F126" s="19" t="n">
        <f aca="false">IF(B126&lt;=0,0,MAX(0,B126-E126))</f>
        <v>0</v>
      </c>
      <c r="G126" s="19" t="n">
        <f aca="false">G125+D126</f>
        <v>5151.53180720265</v>
      </c>
    </row>
    <row r="127" customFormat="false" ht="15" hidden="false" customHeight="false" outlineLevel="0" collapsed="false">
      <c r="A127" s="21" t="n">
        <v>126</v>
      </c>
      <c r="B127" s="22" t="n">
        <f aca="false">MAX(0,F126)</f>
        <v>0</v>
      </c>
      <c r="C127" s="22" t="n">
        <f aca="false">IF(B127&lt;=0,0,MIN('Loan Calculator'!B4,B127*(1+'Loan Calculator'!B7)))</f>
        <v>0</v>
      </c>
      <c r="D127" s="22" t="n">
        <f aca="false">IF(B127&lt;=0,0,B127*'Loan Calculator'!B7)</f>
        <v>0</v>
      </c>
      <c r="E127" s="22" t="n">
        <f aca="false">IF(B127&lt;=0,0,C127-D127)</f>
        <v>0</v>
      </c>
      <c r="F127" s="22" t="n">
        <f aca="false">IF(B127&lt;=0,0,MAX(0,B127-E127))</f>
        <v>0</v>
      </c>
      <c r="G127" s="22" t="n">
        <f aca="false">G126+D127</f>
        <v>5151.53180720265</v>
      </c>
    </row>
    <row r="128" customFormat="false" ht="15" hidden="false" customHeight="false" outlineLevel="0" collapsed="false">
      <c r="A128" s="18" t="n">
        <v>127</v>
      </c>
      <c r="B128" s="19" t="n">
        <f aca="false">MAX(0,F127)</f>
        <v>0</v>
      </c>
      <c r="C128" s="19" t="n">
        <f aca="false">IF(B128&lt;=0,0,MIN('Loan Calculator'!B4,B128*(1+'Loan Calculator'!B7)))</f>
        <v>0</v>
      </c>
      <c r="D128" s="19" t="n">
        <f aca="false">IF(B128&lt;=0,0,B128*'Loan Calculator'!B7)</f>
        <v>0</v>
      </c>
      <c r="E128" s="19" t="n">
        <f aca="false">IF(B128&lt;=0,0,C128-D128)</f>
        <v>0</v>
      </c>
      <c r="F128" s="19" t="n">
        <f aca="false">IF(B128&lt;=0,0,MAX(0,B128-E128))</f>
        <v>0</v>
      </c>
      <c r="G128" s="19" t="n">
        <f aca="false">G127+D128</f>
        <v>5151.53180720265</v>
      </c>
    </row>
    <row r="129" customFormat="false" ht="15" hidden="false" customHeight="false" outlineLevel="0" collapsed="false">
      <c r="A129" s="21" t="n">
        <v>128</v>
      </c>
      <c r="B129" s="22" t="n">
        <f aca="false">MAX(0,F128)</f>
        <v>0</v>
      </c>
      <c r="C129" s="22" t="n">
        <f aca="false">IF(B129&lt;=0,0,MIN('Loan Calculator'!B4,B129*(1+'Loan Calculator'!B7)))</f>
        <v>0</v>
      </c>
      <c r="D129" s="22" t="n">
        <f aca="false">IF(B129&lt;=0,0,B129*'Loan Calculator'!B7)</f>
        <v>0</v>
      </c>
      <c r="E129" s="22" t="n">
        <f aca="false">IF(B129&lt;=0,0,C129-D129)</f>
        <v>0</v>
      </c>
      <c r="F129" s="22" t="n">
        <f aca="false">IF(B129&lt;=0,0,MAX(0,B129-E129))</f>
        <v>0</v>
      </c>
      <c r="G129" s="22" t="n">
        <f aca="false">G128+D129</f>
        <v>5151.53180720265</v>
      </c>
    </row>
    <row r="130" customFormat="false" ht="15" hidden="false" customHeight="false" outlineLevel="0" collapsed="false">
      <c r="A130" s="18" t="n">
        <v>129</v>
      </c>
      <c r="B130" s="19" t="n">
        <f aca="false">MAX(0,F129)</f>
        <v>0</v>
      </c>
      <c r="C130" s="19" t="n">
        <f aca="false">IF(B130&lt;=0,0,MIN('Loan Calculator'!B4,B130*(1+'Loan Calculator'!B7)))</f>
        <v>0</v>
      </c>
      <c r="D130" s="19" t="n">
        <f aca="false">IF(B130&lt;=0,0,B130*'Loan Calculator'!B7)</f>
        <v>0</v>
      </c>
      <c r="E130" s="19" t="n">
        <f aca="false">IF(B130&lt;=0,0,C130-D130)</f>
        <v>0</v>
      </c>
      <c r="F130" s="19" t="n">
        <f aca="false">IF(B130&lt;=0,0,MAX(0,B130-E130))</f>
        <v>0</v>
      </c>
      <c r="G130" s="19" t="n">
        <f aca="false">G129+D130</f>
        <v>5151.53180720265</v>
      </c>
    </row>
    <row r="131" customFormat="false" ht="15" hidden="false" customHeight="false" outlineLevel="0" collapsed="false">
      <c r="A131" s="21" t="n">
        <v>130</v>
      </c>
      <c r="B131" s="22" t="n">
        <f aca="false">MAX(0,F130)</f>
        <v>0</v>
      </c>
      <c r="C131" s="22" t="n">
        <f aca="false">IF(B131&lt;=0,0,MIN('Loan Calculator'!B4,B131*(1+'Loan Calculator'!B7)))</f>
        <v>0</v>
      </c>
      <c r="D131" s="22" t="n">
        <f aca="false">IF(B131&lt;=0,0,B131*'Loan Calculator'!B7)</f>
        <v>0</v>
      </c>
      <c r="E131" s="22" t="n">
        <f aca="false">IF(B131&lt;=0,0,C131-D131)</f>
        <v>0</v>
      </c>
      <c r="F131" s="22" t="n">
        <f aca="false">IF(B131&lt;=0,0,MAX(0,B131-E131))</f>
        <v>0</v>
      </c>
      <c r="G131" s="22" t="n">
        <f aca="false">G130+D131</f>
        <v>5151.53180720265</v>
      </c>
    </row>
    <row r="132" customFormat="false" ht="15" hidden="false" customHeight="false" outlineLevel="0" collapsed="false">
      <c r="A132" s="18" t="n">
        <v>131</v>
      </c>
      <c r="B132" s="19" t="n">
        <f aca="false">MAX(0,F131)</f>
        <v>0</v>
      </c>
      <c r="C132" s="19" t="n">
        <f aca="false">IF(B132&lt;=0,0,MIN('Loan Calculator'!B4,B132*(1+'Loan Calculator'!B7)))</f>
        <v>0</v>
      </c>
      <c r="D132" s="19" t="n">
        <f aca="false">IF(B132&lt;=0,0,B132*'Loan Calculator'!B7)</f>
        <v>0</v>
      </c>
      <c r="E132" s="19" t="n">
        <f aca="false">IF(B132&lt;=0,0,C132-D132)</f>
        <v>0</v>
      </c>
      <c r="F132" s="19" t="n">
        <f aca="false">IF(B132&lt;=0,0,MAX(0,B132-E132))</f>
        <v>0</v>
      </c>
      <c r="G132" s="19" t="n">
        <f aca="false">G131+D132</f>
        <v>5151.53180720265</v>
      </c>
    </row>
    <row r="133" customFormat="false" ht="15" hidden="false" customHeight="false" outlineLevel="0" collapsed="false">
      <c r="A133" s="21" t="n">
        <v>132</v>
      </c>
      <c r="B133" s="22" t="n">
        <f aca="false">MAX(0,F132)</f>
        <v>0</v>
      </c>
      <c r="C133" s="22" t="n">
        <f aca="false">IF(B133&lt;=0,0,MIN('Loan Calculator'!B4,B133*(1+'Loan Calculator'!B7)))</f>
        <v>0</v>
      </c>
      <c r="D133" s="22" t="n">
        <f aca="false">IF(B133&lt;=0,0,B133*'Loan Calculator'!B7)</f>
        <v>0</v>
      </c>
      <c r="E133" s="22" t="n">
        <f aca="false">IF(B133&lt;=0,0,C133-D133)</f>
        <v>0</v>
      </c>
      <c r="F133" s="22" t="n">
        <f aca="false">IF(B133&lt;=0,0,MAX(0,B133-E133))</f>
        <v>0</v>
      </c>
      <c r="G133" s="22" t="n">
        <f aca="false">G132+D133</f>
        <v>5151.53180720265</v>
      </c>
    </row>
    <row r="134" customFormat="false" ht="15" hidden="false" customHeight="false" outlineLevel="0" collapsed="false">
      <c r="A134" s="18" t="n">
        <v>133</v>
      </c>
      <c r="B134" s="19" t="n">
        <f aca="false">MAX(0,F133)</f>
        <v>0</v>
      </c>
      <c r="C134" s="19" t="n">
        <f aca="false">IF(B134&lt;=0,0,MIN('Loan Calculator'!B4,B134*(1+'Loan Calculator'!B7)))</f>
        <v>0</v>
      </c>
      <c r="D134" s="19" t="n">
        <f aca="false">IF(B134&lt;=0,0,B134*'Loan Calculator'!B7)</f>
        <v>0</v>
      </c>
      <c r="E134" s="19" t="n">
        <f aca="false">IF(B134&lt;=0,0,C134-D134)</f>
        <v>0</v>
      </c>
      <c r="F134" s="19" t="n">
        <f aca="false">IF(B134&lt;=0,0,MAX(0,B134-E134))</f>
        <v>0</v>
      </c>
      <c r="G134" s="19" t="n">
        <f aca="false">G133+D134</f>
        <v>5151.53180720265</v>
      </c>
    </row>
    <row r="135" customFormat="false" ht="15" hidden="false" customHeight="false" outlineLevel="0" collapsed="false">
      <c r="A135" s="21" t="n">
        <v>134</v>
      </c>
      <c r="B135" s="22" t="n">
        <f aca="false">MAX(0,F134)</f>
        <v>0</v>
      </c>
      <c r="C135" s="22" t="n">
        <f aca="false">IF(B135&lt;=0,0,MIN('Loan Calculator'!B4,B135*(1+'Loan Calculator'!B7)))</f>
        <v>0</v>
      </c>
      <c r="D135" s="22" t="n">
        <f aca="false">IF(B135&lt;=0,0,B135*'Loan Calculator'!B7)</f>
        <v>0</v>
      </c>
      <c r="E135" s="22" t="n">
        <f aca="false">IF(B135&lt;=0,0,C135-D135)</f>
        <v>0</v>
      </c>
      <c r="F135" s="22" t="n">
        <f aca="false">IF(B135&lt;=0,0,MAX(0,B135-E135))</f>
        <v>0</v>
      </c>
      <c r="G135" s="22" t="n">
        <f aca="false">G134+D135</f>
        <v>5151.53180720265</v>
      </c>
    </row>
    <row r="136" customFormat="false" ht="15" hidden="false" customHeight="false" outlineLevel="0" collapsed="false">
      <c r="A136" s="18" t="n">
        <v>135</v>
      </c>
      <c r="B136" s="19" t="n">
        <f aca="false">MAX(0,F135)</f>
        <v>0</v>
      </c>
      <c r="C136" s="19" t="n">
        <f aca="false">IF(B136&lt;=0,0,MIN('Loan Calculator'!B4,B136*(1+'Loan Calculator'!B7)))</f>
        <v>0</v>
      </c>
      <c r="D136" s="19" t="n">
        <f aca="false">IF(B136&lt;=0,0,B136*'Loan Calculator'!B7)</f>
        <v>0</v>
      </c>
      <c r="E136" s="19" t="n">
        <f aca="false">IF(B136&lt;=0,0,C136-D136)</f>
        <v>0</v>
      </c>
      <c r="F136" s="19" t="n">
        <f aca="false">IF(B136&lt;=0,0,MAX(0,B136-E136))</f>
        <v>0</v>
      </c>
      <c r="G136" s="19" t="n">
        <f aca="false">G135+D136</f>
        <v>5151.53180720265</v>
      </c>
    </row>
    <row r="137" customFormat="false" ht="15" hidden="false" customHeight="false" outlineLevel="0" collapsed="false">
      <c r="A137" s="21" t="n">
        <v>136</v>
      </c>
      <c r="B137" s="22" t="n">
        <f aca="false">MAX(0,F136)</f>
        <v>0</v>
      </c>
      <c r="C137" s="22" t="n">
        <f aca="false">IF(B137&lt;=0,0,MIN('Loan Calculator'!B4,B137*(1+'Loan Calculator'!B7)))</f>
        <v>0</v>
      </c>
      <c r="D137" s="22" t="n">
        <f aca="false">IF(B137&lt;=0,0,B137*'Loan Calculator'!B7)</f>
        <v>0</v>
      </c>
      <c r="E137" s="22" t="n">
        <f aca="false">IF(B137&lt;=0,0,C137-D137)</f>
        <v>0</v>
      </c>
      <c r="F137" s="22" t="n">
        <f aca="false">IF(B137&lt;=0,0,MAX(0,B137-E137))</f>
        <v>0</v>
      </c>
      <c r="G137" s="22" t="n">
        <f aca="false">G136+D137</f>
        <v>5151.53180720265</v>
      </c>
    </row>
    <row r="138" customFormat="false" ht="15" hidden="false" customHeight="false" outlineLevel="0" collapsed="false">
      <c r="A138" s="18" t="n">
        <v>137</v>
      </c>
      <c r="B138" s="19" t="n">
        <f aca="false">MAX(0,F137)</f>
        <v>0</v>
      </c>
      <c r="C138" s="19" t="n">
        <f aca="false">IF(B138&lt;=0,0,MIN('Loan Calculator'!B4,B138*(1+'Loan Calculator'!B7)))</f>
        <v>0</v>
      </c>
      <c r="D138" s="19" t="n">
        <f aca="false">IF(B138&lt;=0,0,B138*'Loan Calculator'!B7)</f>
        <v>0</v>
      </c>
      <c r="E138" s="19" t="n">
        <f aca="false">IF(B138&lt;=0,0,C138-D138)</f>
        <v>0</v>
      </c>
      <c r="F138" s="19" t="n">
        <f aca="false">IF(B138&lt;=0,0,MAX(0,B138-E138))</f>
        <v>0</v>
      </c>
      <c r="G138" s="19" t="n">
        <f aca="false">G137+D138</f>
        <v>5151.53180720265</v>
      </c>
    </row>
    <row r="139" customFormat="false" ht="15" hidden="false" customHeight="false" outlineLevel="0" collapsed="false">
      <c r="A139" s="21" t="n">
        <v>138</v>
      </c>
      <c r="B139" s="22" t="n">
        <f aca="false">MAX(0,F138)</f>
        <v>0</v>
      </c>
      <c r="C139" s="22" t="n">
        <f aca="false">IF(B139&lt;=0,0,MIN('Loan Calculator'!B4,B139*(1+'Loan Calculator'!B7)))</f>
        <v>0</v>
      </c>
      <c r="D139" s="22" t="n">
        <f aca="false">IF(B139&lt;=0,0,B139*'Loan Calculator'!B7)</f>
        <v>0</v>
      </c>
      <c r="E139" s="22" t="n">
        <f aca="false">IF(B139&lt;=0,0,C139-D139)</f>
        <v>0</v>
      </c>
      <c r="F139" s="22" t="n">
        <f aca="false">IF(B139&lt;=0,0,MAX(0,B139-E139))</f>
        <v>0</v>
      </c>
      <c r="G139" s="22" t="n">
        <f aca="false">G138+D139</f>
        <v>5151.53180720265</v>
      </c>
    </row>
    <row r="140" customFormat="false" ht="15" hidden="false" customHeight="false" outlineLevel="0" collapsed="false">
      <c r="A140" s="18" t="n">
        <v>139</v>
      </c>
      <c r="B140" s="19" t="n">
        <f aca="false">MAX(0,F139)</f>
        <v>0</v>
      </c>
      <c r="C140" s="19" t="n">
        <f aca="false">IF(B140&lt;=0,0,MIN('Loan Calculator'!B4,B140*(1+'Loan Calculator'!B7)))</f>
        <v>0</v>
      </c>
      <c r="D140" s="19" t="n">
        <f aca="false">IF(B140&lt;=0,0,B140*'Loan Calculator'!B7)</f>
        <v>0</v>
      </c>
      <c r="E140" s="19" t="n">
        <f aca="false">IF(B140&lt;=0,0,C140-D140)</f>
        <v>0</v>
      </c>
      <c r="F140" s="19" t="n">
        <f aca="false">IF(B140&lt;=0,0,MAX(0,B140-E140))</f>
        <v>0</v>
      </c>
      <c r="G140" s="19" t="n">
        <f aca="false">G139+D140</f>
        <v>5151.53180720265</v>
      </c>
    </row>
    <row r="141" customFormat="false" ht="15" hidden="false" customHeight="false" outlineLevel="0" collapsed="false">
      <c r="A141" s="21" t="n">
        <v>140</v>
      </c>
      <c r="B141" s="22" t="n">
        <f aca="false">MAX(0,F140)</f>
        <v>0</v>
      </c>
      <c r="C141" s="22" t="n">
        <f aca="false">IF(B141&lt;=0,0,MIN('Loan Calculator'!B4,B141*(1+'Loan Calculator'!B7)))</f>
        <v>0</v>
      </c>
      <c r="D141" s="22" t="n">
        <f aca="false">IF(B141&lt;=0,0,B141*'Loan Calculator'!B7)</f>
        <v>0</v>
      </c>
      <c r="E141" s="22" t="n">
        <f aca="false">IF(B141&lt;=0,0,C141-D141)</f>
        <v>0</v>
      </c>
      <c r="F141" s="22" t="n">
        <f aca="false">IF(B141&lt;=0,0,MAX(0,B141-E141))</f>
        <v>0</v>
      </c>
      <c r="G141" s="22" t="n">
        <f aca="false">G140+D141</f>
        <v>5151.53180720265</v>
      </c>
    </row>
    <row r="142" customFormat="false" ht="15" hidden="false" customHeight="false" outlineLevel="0" collapsed="false">
      <c r="A142" s="18" t="n">
        <v>141</v>
      </c>
      <c r="B142" s="19" t="n">
        <f aca="false">MAX(0,F141)</f>
        <v>0</v>
      </c>
      <c r="C142" s="19" t="n">
        <f aca="false">IF(B142&lt;=0,0,MIN('Loan Calculator'!B4,B142*(1+'Loan Calculator'!B7)))</f>
        <v>0</v>
      </c>
      <c r="D142" s="19" t="n">
        <f aca="false">IF(B142&lt;=0,0,B142*'Loan Calculator'!B7)</f>
        <v>0</v>
      </c>
      <c r="E142" s="19" t="n">
        <f aca="false">IF(B142&lt;=0,0,C142-D142)</f>
        <v>0</v>
      </c>
      <c r="F142" s="19" t="n">
        <f aca="false">IF(B142&lt;=0,0,MAX(0,B142-E142))</f>
        <v>0</v>
      </c>
      <c r="G142" s="19" t="n">
        <f aca="false">G141+D142</f>
        <v>5151.53180720265</v>
      </c>
    </row>
    <row r="143" customFormat="false" ht="15" hidden="false" customHeight="false" outlineLevel="0" collapsed="false">
      <c r="A143" s="21" t="n">
        <v>142</v>
      </c>
      <c r="B143" s="22" t="n">
        <f aca="false">MAX(0,F142)</f>
        <v>0</v>
      </c>
      <c r="C143" s="22" t="n">
        <f aca="false">IF(B143&lt;=0,0,MIN('Loan Calculator'!B4,B143*(1+'Loan Calculator'!B7)))</f>
        <v>0</v>
      </c>
      <c r="D143" s="22" t="n">
        <f aca="false">IF(B143&lt;=0,0,B143*'Loan Calculator'!B7)</f>
        <v>0</v>
      </c>
      <c r="E143" s="22" t="n">
        <f aca="false">IF(B143&lt;=0,0,C143-D143)</f>
        <v>0</v>
      </c>
      <c r="F143" s="22" t="n">
        <f aca="false">IF(B143&lt;=0,0,MAX(0,B143-E143))</f>
        <v>0</v>
      </c>
      <c r="G143" s="22" t="n">
        <f aca="false">G142+D143</f>
        <v>5151.53180720265</v>
      </c>
    </row>
    <row r="144" customFormat="false" ht="15" hidden="false" customHeight="false" outlineLevel="0" collapsed="false">
      <c r="A144" s="18" t="n">
        <v>143</v>
      </c>
      <c r="B144" s="19" t="n">
        <f aca="false">MAX(0,F143)</f>
        <v>0</v>
      </c>
      <c r="C144" s="19" t="n">
        <f aca="false">IF(B144&lt;=0,0,MIN('Loan Calculator'!B4,B144*(1+'Loan Calculator'!B7)))</f>
        <v>0</v>
      </c>
      <c r="D144" s="19" t="n">
        <f aca="false">IF(B144&lt;=0,0,B144*'Loan Calculator'!B7)</f>
        <v>0</v>
      </c>
      <c r="E144" s="19" t="n">
        <f aca="false">IF(B144&lt;=0,0,C144-D144)</f>
        <v>0</v>
      </c>
      <c r="F144" s="19" t="n">
        <f aca="false">IF(B144&lt;=0,0,MAX(0,B144-E144))</f>
        <v>0</v>
      </c>
      <c r="G144" s="19" t="n">
        <f aca="false">G143+D144</f>
        <v>5151.53180720265</v>
      </c>
    </row>
    <row r="145" customFormat="false" ht="15" hidden="false" customHeight="false" outlineLevel="0" collapsed="false">
      <c r="A145" s="21" t="n">
        <v>144</v>
      </c>
      <c r="B145" s="22" t="n">
        <f aca="false">MAX(0,F144)</f>
        <v>0</v>
      </c>
      <c r="C145" s="22" t="n">
        <f aca="false">IF(B145&lt;=0,0,MIN('Loan Calculator'!B4,B145*(1+'Loan Calculator'!B7)))</f>
        <v>0</v>
      </c>
      <c r="D145" s="22" t="n">
        <f aca="false">IF(B145&lt;=0,0,B145*'Loan Calculator'!B7)</f>
        <v>0</v>
      </c>
      <c r="E145" s="22" t="n">
        <f aca="false">IF(B145&lt;=0,0,C145-D145)</f>
        <v>0</v>
      </c>
      <c r="F145" s="22" t="n">
        <f aca="false">IF(B145&lt;=0,0,MAX(0,B145-E145))</f>
        <v>0</v>
      </c>
      <c r="G145" s="22" t="n">
        <f aca="false">G144+D145</f>
        <v>5151.53180720265</v>
      </c>
    </row>
    <row r="146" customFormat="false" ht="15" hidden="false" customHeight="false" outlineLevel="0" collapsed="false">
      <c r="A146" s="18" t="n">
        <v>145</v>
      </c>
      <c r="B146" s="19" t="n">
        <f aca="false">MAX(0,F145)</f>
        <v>0</v>
      </c>
      <c r="C146" s="19" t="n">
        <f aca="false">IF(B146&lt;=0,0,MIN('Loan Calculator'!B4,B146*(1+'Loan Calculator'!B7)))</f>
        <v>0</v>
      </c>
      <c r="D146" s="19" t="n">
        <f aca="false">IF(B146&lt;=0,0,B146*'Loan Calculator'!B7)</f>
        <v>0</v>
      </c>
      <c r="E146" s="19" t="n">
        <f aca="false">IF(B146&lt;=0,0,C146-D146)</f>
        <v>0</v>
      </c>
      <c r="F146" s="19" t="n">
        <f aca="false">IF(B146&lt;=0,0,MAX(0,B146-E146))</f>
        <v>0</v>
      </c>
      <c r="G146" s="19" t="n">
        <f aca="false">G145+D146</f>
        <v>5151.53180720265</v>
      </c>
    </row>
    <row r="147" customFormat="false" ht="15" hidden="false" customHeight="false" outlineLevel="0" collapsed="false">
      <c r="A147" s="21" t="n">
        <v>146</v>
      </c>
      <c r="B147" s="22" t="n">
        <f aca="false">MAX(0,F146)</f>
        <v>0</v>
      </c>
      <c r="C147" s="22" t="n">
        <f aca="false">IF(B147&lt;=0,0,MIN('Loan Calculator'!B4,B147*(1+'Loan Calculator'!B7)))</f>
        <v>0</v>
      </c>
      <c r="D147" s="22" t="n">
        <f aca="false">IF(B147&lt;=0,0,B147*'Loan Calculator'!B7)</f>
        <v>0</v>
      </c>
      <c r="E147" s="22" t="n">
        <f aca="false">IF(B147&lt;=0,0,C147-D147)</f>
        <v>0</v>
      </c>
      <c r="F147" s="22" t="n">
        <f aca="false">IF(B147&lt;=0,0,MAX(0,B147-E147))</f>
        <v>0</v>
      </c>
      <c r="G147" s="22" t="n">
        <f aca="false">G146+D147</f>
        <v>5151.53180720265</v>
      </c>
    </row>
    <row r="148" customFormat="false" ht="15" hidden="false" customHeight="false" outlineLevel="0" collapsed="false">
      <c r="A148" s="18" t="n">
        <v>147</v>
      </c>
      <c r="B148" s="19" t="n">
        <f aca="false">MAX(0,F147)</f>
        <v>0</v>
      </c>
      <c r="C148" s="19" t="n">
        <f aca="false">IF(B148&lt;=0,0,MIN('Loan Calculator'!B4,B148*(1+'Loan Calculator'!B7)))</f>
        <v>0</v>
      </c>
      <c r="D148" s="19" t="n">
        <f aca="false">IF(B148&lt;=0,0,B148*'Loan Calculator'!B7)</f>
        <v>0</v>
      </c>
      <c r="E148" s="19" t="n">
        <f aca="false">IF(B148&lt;=0,0,C148-D148)</f>
        <v>0</v>
      </c>
      <c r="F148" s="19" t="n">
        <f aca="false">IF(B148&lt;=0,0,MAX(0,B148-E148))</f>
        <v>0</v>
      </c>
      <c r="G148" s="19" t="n">
        <f aca="false">G147+D148</f>
        <v>5151.53180720265</v>
      </c>
    </row>
    <row r="149" customFormat="false" ht="15" hidden="false" customHeight="false" outlineLevel="0" collapsed="false">
      <c r="A149" s="21" t="n">
        <v>148</v>
      </c>
      <c r="B149" s="22" t="n">
        <f aca="false">MAX(0,F148)</f>
        <v>0</v>
      </c>
      <c r="C149" s="22" t="n">
        <f aca="false">IF(B149&lt;=0,0,MIN('Loan Calculator'!B4,B149*(1+'Loan Calculator'!B7)))</f>
        <v>0</v>
      </c>
      <c r="D149" s="22" t="n">
        <f aca="false">IF(B149&lt;=0,0,B149*'Loan Calculator'!B7)</f>
        <v>0</v>
      </c>
      <c r="E149" s="22" t="n">
        <f aca="false">IF(B149&lt;=0,0,C149-D149)</f>
        <v>0</v>
      </c>
      <c r="F149" s="22" t="n">
        <f aca="false">IF(B149&lt;=0,0,MAX(0,B149-E149))</f>
        <v>0</v>
      </c>
      <c r="G149" s="22" t="n">
        <f aca="false">G148+D149</f>
        <v>5151.53180720265</v>
      </c>
    </row>
    <row r="150" customFormat="false" ht="15" hidden="false" customHeight="false" outlineLevel="0" collapsed="false">
      <c r="A150" s="18" t="n">
        <v>149</v>
      </c>
      <c r="B150" s="19" t="n">
        <f aca="false">MAX(0,F149)</f>
        <v>0</v>
      </c>
      <c r="C150" s="19" t="n">
        <f aca="false">IF(B150&lt;=0,0,MIN('Loan Calculator'!B4,B150*(1+'Loan Calculator'!B7)))</f>
        <v>0</v>
      </c>
      <c r="D150" s="19" t="n">
        <f aca="false">IF(B150&lt;=0,0,B150*'Loan Calculator'!B7)</f>
        <v>0</v>
      </c>
      <c r="E150" s="19" t="n">
        <f aca="false">IF(B150&lt;=0,0,C150-D150)</f>
        <v>0</v>
      </c>
      <c r="F150" s="19" t="n">
        <f aca="false">IF(B150&lt;=0,0,MAX(0,B150-E150))</f>
        <v>0</v>
      </c>
      <c r="G150" s="19" t="n">
        <f aca="false">G149+D150</f>
        <v>5151.53180720265</v>
      </c>
    </row>
    <row r="151" customFormat="false" ht="15" hidden="false" customHeight="false" outlineLevel="0" collapsed="false">
      <c r="A151" s="21" t="n">
        <v>150</v>
      </c>
      <c r="B151" s="22" t="n">
        <f aca="false">MAX(0,F150)</f>
        <v>0</v>
      </c>
      <c r="C151" s="22" t="n">
        <f aca="false">IF(B151&lt;=0,0,MIN('Loan Calculator'!B4,B151*(1+'Loan Calculator'!B7)))</f>
        <v>0</v>
      </c>
      <c r="D151" s="22" t="n">
        <f aca="false">IF(B151&lt;=0,0,B151*'Loan Calculator'!B7)</f>
        <v>0</v>
      </c>
      <c r="E151" s="22" t="n">
        <f aca="false">IF(B151&lt;=0,0,C151-D151)</f>
        <v>0</v>
      </c>
      <c r="F151" s="22" t="n">
        <f aca="false">IF(B151&lt;=0,0,MAX(0,B151-E151))</f>
        <v>0</v>
      </c>
      <c r="G151" s="22" t="n">
        <f aca="false">G150+D151</f>
        <v>5151.53180720265</v>
      </c>
    </row>
    <row r="152" customFormat="false" ht="15" hidden="false" customHeight="false" outlineLevel="0" collapsed="false">
      <c r="A152" s="18" t="n">
        <v>151</v>
      </c>
      <c r="B152" s="19" t="n">
        <f aca="false">MAX(0,F151)</f>
        <v>0</v>
      </c>
      <c r="C152" s="19" t="n">
        <f aca="false">IF(B152&lt;=0,0,MIN('Loan Calculator'!B4,B152*(1+'Loan Calculator'!B7)))</f>
        <v>0</v>
      </c>
      <c r="D152" s="19" t="n">
        <f aca="false">IF(B152&lt;=0,0,B152*'Loan Calculator'!B7)</f>
        <v>0</v>
      </c>
      <c r="E152" s="19" t="n">
        <f aca="false">IF(B152&lt;=0,0,C152-D152)</f>
        <v>0</v>
      </c>
      <c r="F152" s="19" t="n">
        <f aca="false">IF(B152&lt;=0,0,MAX(0,B152-E152))</f>
        <v>0</v>
      </c>
      <c r="G152" s="19" t="n">
        <f aca="false">G151+D152</f>
        <v>5151.53180720265</v>
      </c>
    </row>
    <row r="153" customFormat="false" ht="15" hidden="false" customHeight="false" outlineLevel="0" collapsed="false">
      <c r="A153" s="21" t="n">
        <v>152</v>
      </c>
      <c r="B153" s="22" t="n">
        <f aca="false">MAX(0,F152)</f>
        <v>0</v>
      </c>
      <c r="C153" s="22" t="n">
        <f aca="false">IF(B153&lt;=0,0,MIN('Loan Calculator'!B4,B153*(1+'Loan Calculator'!B7)))</f>
        <v>0</v>
      </c>
      <c r="D153" s="22" t="n">
        <f aca="false">IF(B153&lt;=0,0,B153*'Loan Calculator'!B7)</f>
        <v>0</v>
      </c>
      <c r="E153" s="22" t="n">
        <f aca="false">IF(B153&lt;=0,0,C153-D153)</f>
        <v>0</v>
      </c>
      <c r="F153" s="22" t="n">
        <f aca="false">IF(B153&lt;=0,0,MAX(0,B153-E153))</f>
        <v>0</v>
      </c>
      <c r="G153" s="22" t="n">
        <f aca="false">G152+D153</f>
        <v>5151.53180720265</v>
      </c>
    </row>
    <row r="154" customFormat="false" ht="15" hidden="false" customHeight="false" outlineLevel="0" collapsed="false">
      <c r="A154" s="18" t="n">
        <v>153</v>
      </c>
      <c r="B154" s="19" t="n">
        <f aca="false">MAX(0,F153)</f>
        <v>0</v>
      </c>
      <c r="C154" s="19" t="n">
        <f aca="false">IF(B154&lt;=0,0,MIN('Loan Calculator'!B4,B154*(1+'Loan Calculator'!B7)))</f>
        <v>0</v>
      </c>
      <c r="D154" s="19" t="n">
        <f aca="false">IF(B154&lt;=0,0,B154*'Loan Calculator'!B7)</f>
        <v>0</v>
      </c>
      <c r="E154" s="19" t="n">
        <f aca="false">IF(B154&lt;=0,0,C154-D154)</f>
        <v>0</v>
      </c>
      <c r="F154" s="19" t="n">
        <f aca="false">IF(B154&lt;=0,0,MAX(0,B154-E154))</f>
        <v>0</v>
      </c>
      <c r="G154" s="19" t="n">
        <f aca="false">G153+D154</f>
        <v>5151.53180720265</v>
      </c>
    </row>
    <row r="155" customFormat="false" ht="15" hidden="false" customHeight="false" outlineLevel="0" collapsed="false">
      <c r="A155" s="21" t="n">
        <v>154</v>
      </c>
      <c r="B155" s="22" t="n">
        <f aca="false">MAX(0,F154)</f>
        <v>0</v>
      </c>
      <c r="C155" s="22" t="n">
        <f aca="false">IF(B155&lt;=0,0,MIN('Loan Calculator'!B4,B155*(1+'Loan Calculator'!B7)))</f>
        <v>0</v>
      </c>
      <c r="D155" s="22" t="n">
        <f aca="false">IF(B155&lt;=0,0,B155*'Loan Calculator'!B7)</f>
        <v>0</v>
      </c>
      <c r="E155" s="22" t="n">
        <f aca="false">IF(B155&lt;=0,0,C155-D155)</f>
        <v>0</v>
      </c>
      <c r="F155" s="22" t="n">
        <f aca="false">IF(B155&lt;=0,0,MAX(0,B155-E155))</f>
        <v>0</v>
      </c>
      <c r="G155" s="22" t="n">
        <f aca="false">G154+D155</f>
        <v>5151.53180720265</v>
      </c>
    </row>
    <row r="156" customFormat="false" ht="15" hidden="false" customHeight="false" outlineLevel="0" collapsed="false">
      <c r="A156" s="18" t="n">
        <v>155</v>
      </c>
      <c r="B156" s="19" t="n">
        <f aca="false">MAX(0,F155)</f>
        <v>0</v>
      </c>
      <c r="C156" s="19" t="n">
        <f aca="false">IF(B156&lt;=0,0,MIN('Loan Calculator'!B4,B156*(1+'Loan Calculator'!B7)))</f>
        <v>0</v>
      </c>
      <c r="D156" s="19" t="n">
        <f aca="false">IF(B156&lt;=0,0,B156*'Loan Calculator'!B7)</f>
        <v>0</v>
      </c>
      <c r="E156" s="19" t="n">
        <f aca="false">IF(B156&lt;=0,0,C156-D156)</f>
        <v>0</v>
      </c>
      <c r="F156" s="19" t="n">
        <f aca="false">IF(B156&lt;=0,0,MAX(0,B156-E156))</f>
        <v>0</v>
      </c>
      <c r="G156" s="19" t="n">
        <f aca="false">G155+D156</f>
        <v>5151.53180720265</v>
      </c>
    </row>
    <row r="157" customFormat="false" ht="15" hidden="false" customHeight="false" outlineLevel="0" collapsed="false">
      <c r="A157" s="21" t="n">
        <v>156</v>
      </c>
      <c r="B157" s="22" t="n">
        <f aca="false">MAX(0,F156)</f>
        <v>0</v>
      </c>
      <c r="C157" s="22" t="n">
        <f aca="false">IF(B157&lt;=0,0,MIN('Loan Calculator'!B4,B157*(1+'Loan Calculator'!B7)))</f>
        <v>0</v>
      </c>
      <c r="D157" s="22" t="n">
        <f aca="false">IF(B157&lt;=0,0,B157*'Loan Calculator'!B7)</f>
        <v>0</v>
      </c>
      <c r="E157" s="22" t="n">
        <f aca="false">IF(B157&lt;=0,0,C157-D157)</f>
        <v>0</v>
      </c>
      <c r="F157" s="22" t="n">
        <f aca="false">IF(B157&lt;=0,0,MAX(0,B157-E157))</f>
        <v>0</v>
      </c>
      <c r="G157" s="22" t="n">
        <f aca="false">G156+D157</f>
        <v>5151.53180720265</v>
      </c>
    </row>
    <row r="158" customFormat="false" ht="15" hidden="false" customHeight="false" outlineLevel="0" collapsed="false">
      <c r="A158" s="18" t="n">
        <v>157</v>
      </c>
      <c r="B158" s="19" t="n">
        <f aca="false">MAX(0,F157)</f>
        <v>0</v>
      </c>
      <c r="C158" s="19" t="n">
        <f aca="false">IF(B158&lt;=0,0,MIN('Loan Calculator'!B4,B158*(1+'Loan Calculator'!B7)))</f>
        <v>0</v>
      </c>
      <c r="D158" s="19" t="n">
        <f aca="false">IF(B158&lt;=0,0,B158*'Loan Calculator'!B7)</f>
        <v>0</v>
      </c>
      <c r="E158" s="19" t="n">
        <f aca="false">IF(B158&lt;=0,0,C158-D158)</f>
        <v>0</v>
      </c>
      <c r="F158" s="19" t="n">
        <f aca="false">IF(B158&lt;=0,0,MAX(0,B158-E158))</f>
        <v>0</v>
      </c>
      <c r="G158" s="19" t="n">
        <f aca="false">G157+D158</f>
        <v>5151.53180720265</v>
      </c>
    </row>
    <row r="159" customFormat="false" ht="15" hidden="false" customHeight="false" outlineLevel="0" collapsed="false">
      <c r="A159" s="21" t="n">
        <v>158</v>
      </c>
      <c r="B159" s="22" t="n">
        <f aca="false">MAX(0,F158)</f>
        <v>0</v>
      </c>
      <c r="C159" s="22" t="n">
        <f aca="false">IF(B159&lt;=0,0,MIN('Loan Calculator'!B4,B159*(1+'Loan Calculator'!B7)))</f>
        <v>0</v>
      </c>
      <c r="D159" s="22" t="n">
        <f aca="false">IF(B159&lt;=0,0,B159*'Loan Calculator'!B7)</f>
        <v>0</v>
      </c>
      <c r="E159" s="22" t="n">
        <f aca="false">IF(B159&lt;=0,0,C159-D159)</f>
        <v>0</v>
      </c>
      <c r="F159" s="22" t="n">
        <f aca="false">IF(B159&lt;=0,0,MAX(0,B159-E159))</f>
        <v>0</v>
      </c>
      <c r="G159" s="22" t="n">
        <f aca="false">G158+D159</f>
        <v>5151.53180720265</v>
      </c>
    </row>
    <row r="160" customFormat="false" ht="15" hidden="false" customHeight="false" outlineLevel="0" collapsed="false">
      <c r="A160" s="18" t="n">
        <v>159</v>
      </c>
      <c r="B160" s="19" t="n">
        <f aca="false">MAX(0,F159)</f>
        <v>0</v>
      </c>
      <c r="C160" s="19" t="n">
        <f aca="false">IF(B160&lt;=0,0,MIN('Loan Calculator'!B4,B160*(1+'Loan Calculator'!B7)))</f>
        <v>0</v>
      </c>
      <c r="D160" s="19" t="n">
        <f aca="false">IF(B160&lt;=0,0,B160*'Loan Calculator'!B7)</f>
        <v>0</v>
      </c>
      <c r="E160" s="19" t="n">
        <f aca="false">IF(B160&lt;=0,0,C160-D160)</f>
        <v>0</v>
      </c>
      <c r="F160" s="19" t="n">
        <f aca="false">IF(B160&lt;=0,0,MAX(0,B160-E160))</f>
        <v>0</v>
      </c>
      <c r="G160" s="19" t="n">
        <f aca="false">G159+D160</f>
        <v>5151.53180720265</v>
      </c>
    </row>
    <row r="161" customFormat="false" ht="15" hidden="false" customHeight="false" outlineLevel="0" collapsed="false">
      <c r="A161" s="21" t="n">
        <v>160</v>
      </c>
      <c r="B161" s="22" t="n">
        <f aca="false">MAX(0,F160)</f>
        <v>0</v>
      </c>
      <c r="C161" s="22" t="n">
        <f aca="false">IF(B161&lt;=0,0,MIN('Loan Calculator'!B4,B161*(1+'Loan Calculator'!B7)))</f>
        <v>0</v>
      </c>
      <c r="D161" s="22" t="n">
        <f aca="false">IF(B161&lt;=0,0,B161*'Loan Calculator'!B7)</f>
        <v>0</v>
      </c>
      <c r="E161" s="22" t="n">
        <f aca="false">IF(B161&lt;=0,0,C161-D161)</f>
        <v>0</v>
      </c>
      <c r="F161" s="22" t="n">
        <f aca="false">IF(B161&lt;=0,0,MAX(0,B161-E161))</f>
        <v>0</v>
      </c>
      <c r="G161" s="22" t="n">
        <f aca="false">G160+D161</f>
        <v>5151.53180720265</v>
      </c>
    </row>
    <row r="162" customFormat="false" ht="15" hidden="false" customHeight="false" outlineLevel="0" collapsed="false">
      <c r="A162" s="18" t="n">
        <v>161</v>
      </c>
      <c r="B162" s="19" t="n">
        <f aca="false">MAX(0,F161)</f>
        <v>0</v>
      </c>
      <c r="C162" s="19" t="n">
        <f aca="false">IF(B162&lt;=0,0,MIN('Loan Calculator'!B4,B162*(1+'Loan Calculator'!B7)))</f>
        <v>0</v>
      </c>
      <c r="D162" s="19" t="n">
        <f aca="false">IF(B162&lt;=0,0,B162*'Loan Calculator'!B7)</f>
        <v>0</v>
      </c>
      <c r="E162" s="19" t="n">
        <f aca="false">IF(B162&lt;=0,0,C162-D162)</f>
        <v>0</v>
      </c>
      <c r="F162" s="19" t="n">
        <f aca="false">IF(B162&lt;=0,0,MAX(0,B162-E162))</f>
        <v>0</v>
      </c>
      <c r="G162" s="19" t="n">
        <f aca="false">G161+D162</f>
        <v>5151.53180720265</v>
      </c>
    </row>
    <row r="163" customFormat="false" ht="15" hidden="false" customHeight="false" outlineLevel="0" collapsed="false">
      <c r="A163" s="21" t="n">
        <v>162</v>
      </c>
      <c r="B163" s="22" t="n">
        <f aca="false">MAX(0,F162)</f>
        <v>0</v>
      </c>
      <c r="C163" s="22" t="n">
        <f aca="false">IF(B163&lt;=0,0,MIN('Loan Calculator'!B4,B163*(1+'Loan Calculator'!B7)))</f>
        <v>0</v>
      </c>
      <c r="D163" s="22" t="n">
        <f aca="false">IF(B163&lt;=0,0,B163*'Loan Calculator'!B7)</f>
        <v>0</v>
      </c>
      <c r="E163" s="22" t="n">
        <f aca="false">IF(B163&lt;=0,0,C163-D163)</f>
        <v>0</v>
      </c>
      <c r="F163" s="22" t="n">
        <f aca="false">IF(B163&lt;=0,0,MAX(0,B163-E163))</f>
        <v>0</v>
      </c>
      <c r="G163" s="22" t="n">
        <f aca="false">G162+D163</f>
        <v>5151.53180720265</v>
      </c>
    </row>
    <row r="164" customFormat="false" ht="15" hidden="false" customHeight="false" outlineLevel="0" collapsed="false">
      <c r="A164" s="18" t="n">
        <v>163</v>
      </c>
      <c r="B164" s="19" t="n">
        <f aca="false">MAX(0,F163)</f>
        <v>0</v>
      </c>
      <c r="C164" s="19" t="n">
        <f aca="false">IF(B164&lt;=0,0,MIN('Loan Calculator'!B4,B164*(1+'Loan Calculator'!B7)))</f>
        <v>0</v>
      </c>
      <c r="D164" s="19" t="n">
        <f aca="false">IF(B164&lt;=0,0,B164*'Loan Calculator'!B7)</f>
        <v>0</v>
      </c>
      <c r="E164" s="19" t="n">
        <f aca="false">IF(B164&lt;=0,0,C164-D164)</f>
        <v>0</v>
      </c>
      <c r="F164" s="19" t="n">
        <f aca="false">IF(B164&lt;=0,0,MAX(0,B164-E164))</f>
        <v>0</v>
      </c>
      <c r="G164" s="19" t="n">
        <f aca="false">G163+D164</f>
        <v>5151.53180720265</v>
      </c>
    </row>
    <row r="165" customFormat="false" ht="15" hidden="false" customHeight="false" outlineLevel="0" collapsed="false">
      <c r="A165" s="21" t="n">
        <v>164</v>
      </c>
      <c r="B165" s="22" t="n">
        <f aca="false">MAX(0,F164)</f>
        <v>0</v>
      </c>
      <c r="C165" s="22" t="n">
        <f aca="false">IF(B165&lt;=0,0,MIN('Loan Calculator'!B4,B165*(1+'Loan Calculator'!B7)))</f>
        <v>0</v>
      </c>
      <c r="D165" s="22" t="n">
        <f aca="false">IF(B165&lt;=0,0,B165*'Loan Calculator'!B7)</f>
        <v>0</v>
      </c>
      <c r="E165" s="22" t="n">
        <f aca="false">IF(B165&lt;=0,0,C165-D165)</f>
        <v>0</v>
      </c>
      <c r="F165" s="22" t="n">
        <f aca="false">IF(B165&lt;=0,0,MAX(0,B165-E165))</f>
        <v>0</v>
      </c>
      <c r="G165" s="22" t="n">
        <f aca="false">G164+D165</f>
        <v>5151.53180720265</v>
      </c>
    </row>
    <row r="166" customFormat="false" ht="15" hidden="false" customHeight="false" outlineLevel="0" collapsed="false">
      <c r="A166" s="18" t="n">
        <v>165</v>
      </c>
      <c r="B166" s="19" t="n">
        <f aca="false">MAX(0,F165)</f>
        <v>0</v>
      </c>
      <c r="C166" s="19" t="n">
        <f aca="false">IF(B166&lt;=0,0,MIN('Loan Calculator'!B4,B166*(1+'Loan Calculator'!B7)))</f>
        <v>0</v>
      </c>
      <c r="D166" s="19" t="n">
        <f aca="false">IF(B166&lt;=0,0,B166*'Loan Calculator'!B7)</f>
        <v>0</v>
      </c>
      <c r="E166" s="19" t="n">
        <f aca="false">IF(B166&lt;=0,0,C166-D166)</f>
        <v>0</v>
      </c>
      <c r="F166" s="19" t="n">
        <f aca="false">IF(B166&lt;=0,0,MAX(0,B166-E166))</f>
        <v>0</v>
      </c>
      <c r="G166" s="19" t="n">
        <f aca="false">G165+D166</f>
        <v>5151.53180720265</v>
      </c>
    </row>
    <row r="167" customFormat="false" ht="15" hidden="false" customHeight="false" outlineLevel="0" collapsed="false">
      <c r="A167" s="21" t="n">
        <v>166</v>
      </c>
      <c r="B167" s="22" t="n">
        <f aca="false">MAX(0,F166)</f>
        <v>0</v>
      </c>
      <c r="C167" s="22" t="n">
        <f aca="false">IF(B167&lt;=0,0,MIN('Loan Calculator'!B4,B167*(1+'Loan Calculator'!B7)))</f>
        <v>0</v>
      </c>
      <c r="D167" s="22" t="n">
        <f aca="false">IF(B167&lt;=0,0,B167*'Loan Calculator'!B7)</f>
        <v>0</v>
      </c>
      <c r="E167" s="22" t="n">
        <f aca="false">IF(B167&lt;=0,0,C167-D167)</f>
        <v>0</v>
      </c>
      <c r="F167" s="22" t="n">
        <f aca="false">IF(B167&lt;=0,0,MAX(0,B167-E167))</f>
        <v>0</v>
      </c>
      <c r="G167" s="22" t="n">
        <f aca="false">G166+D167</f>
        <v>5151.53180720265</v>
      </c>
    </row>
    <row r="168" customFormat="false" ht="15" hidden="false" customHeight="false" outlineLevel="0" collapsed="false">
      <c r="A168" s="18" t="n">
        <v>167</v>
      </c>
      <c r="B168" s="19" t="n">
        <f aca="false">MAX(0,F167)</f>
        <v>0</v>
      </c>
      <c r="C168" s="19" t="n">
        <f aca="false">IF(B168&lt;=0,0,MIN('Loan Calculator'!B4,B168*(1+'Loan Calculator'!B7)))</f>
        <v>0</v>
      </c>
      <c r="D168" s="19" t="n">
        <f aca="false">IF(B168&lt;=0,0,B168*'Loan Calculator'!B7)</f>
        <v>0</v>
      </c>
      <c r="E168" s="19" t="n">
        <f aca="false">IF(B168&lt;=0,0,C168-D168)</f>
        <v>0</v>
      </c>
      <c r="F168" s="19" t="n">
        <f aca="false">IF(B168&lt;=0,0,MAX(0,B168-E168))</f>
        <v>0</v>
      </c>
      <c r="G168" s="19" t="n">
        <f aca="false">G167+D168</f>
        <v>5151.53180720265</v>
      </c>
    </row>
    <row r="169" customFormat="false" ht="15" hidden="false" customHeight="false" outlineLevel="0" collapsed="false">
      <c r="A169" s="21" t="n">
        <v>168</v>
      </c>
      <c r="B169" s="22" t="n">
        <f aca="false">MAX(0,F168)</f>
        <v>0</v>
      </c>
      <c r="C169" s="22" t="n">
        <f aca="false">IF(B169&lt;=0,0,MIN('Loan Calculator'!B4,B169*(1+'Loan Calculator'!B7)))</f>
        <v>0</v>
      </c>
      <c r="D169" s="22" t="n">
        <f aca="false">IF(B169&lt;=0,0,B169*'Loan Calculator'!B7)</f>
        <v>0</v>
      </c>
      <c r="E169" s="22" t="n">
        <f aca="false">IF(B169&lt;=0,0,C169-D169)</f>
        <v>0</v>
      </c>
      <c r="F169" s="22" t="n">
        <f aca="false">IF(B169&lt;=0,0,MAX(0,B169-E169))</f>
        <v>0</v>
      </c>
      <c r="G169" s="22" t="n">
        <f aca="false">G168+D169</f>
        <v>5151.53180720265</v>
      </c>
    </row>
    <row r="170" customFormat="false" ht="15" hidden="false" customHeight="false" outlineLevel="0" collapsed="false">
      <c r="A170" s="18" t="n">
        <v>169</v>
      </c>
      <c r="B170" s="19" t="n">
        <f aca="false">MAX(0,F169)</f>
        <v>0</v>
      </c>
      <c r="C170" s="19" t="n">
        <f aca="false">IF(B170&lt;=0,0,MIN('Loan Calculator'!B4,B170*(1+'Loan Calculator'!B7)))</f>
        <v>0</v>
      </c>
      <c r="D170" s="19" t="n">
        <f aca="false">IF(B170&lt;=0,0,B170*'Loan Calculator'!B7)</f>
        <v>0</v>
      </c>
      <c r="E170" s="19" t="n">
        <f aca="false">IF(B170&lt;=0,0,C170-D170)</f>
        <v>0</v>
      </c>
      <c r="F170" s="19" t="n">
        <f aca="false">IF(B170&lt;=0,0,MAX(0,B170-E170))</f>
        <v>0</v>
      </c>
      <c r="G170" s="19" t="n">
        <f aca="false">G169+D170</f>
        <v>5151.53180720265</v>
      </c>
    </row>
    <row r="171" customFormat="false" ht="15" hidden="false" customHeight="false" outlineLevel="0" collapsed="false">
      <c r="A171" s="21" t="n">
        <v>170</v>
      </c>
      <c r="B171" s="22" t="n">
        <f aca="false">MAX(0,F170)</f>
        <v>0</v>
      </c>
      <c r="C171" s="22" t="n">
        <f aca="false">IF(B171&lt;=0,0,MIN('Loan Calculator'!B4,B171*(1+'Loan Calculator'!B7)))</f>
        <v>0</v>
      </c>
      <c r="D171" s="22" t="n">
        <f aca="false">IF(B171&lt;=0,0,B171*'Loan Calculator'!B7)</f>
        <v>0</v>
      </c>
      <c r="E171" s="22" t="n">
        <f aca="false">IF(B171&lt;=0,0,C171-D171)</f>
        <v>0</v>
      </c>
      <c r="F171" s="22" t="n">
        <f aca="false">IF(B171&lt;=0,0,MAX(0,B171-E171))</f>
        <v>0</v>
      </c>
      <c r="G171" s="22" t="n">
        <f aca="false">G170+D171</f>
        <v>5151.53180720265</v>
      </c>
    </row>
    <row r="172" customFormat="false" ht="15" hidden="false" customHeight="false" outlineLevel="0" collapsed="false">
      <c r="A172" s="18" t="n">
        <v>171</v>
      </c>
      <c r="B172" s="19" t="n">
        <f aca="false">MAX(0,F171)</f>
        <v>0</v>
      </c>
      <c r="C172" s="19" t="n">
        <f aca="false">IF(B172&lt;=0,0,MIN('Loan Calculator'!B4,B172*(1+'Loan Calculator'!B7)))</f>
        <v>0</v>
      </c>
      <c r="D172" s="19" t="n">
        <f aca="false">IF(B172&lt;=0,0,B172*'Loan Calculator'!B7)</f>
        <v>0</v>
      </c>
      <c r="E172" s="19" t="n">
        <f aca="false">IF(B172&lt;=0,0,C172-D172)</f>
        <v>0</v>
      </c>
      <c r="F172" s="19" t="n">
        <f aca="false">IF(B172&lt;=0,0,MAX(0,B172-E172))</f>
        <v>0</v>
      </c>
      <c r="G172" s="19" t="n">
        <f aca="false">G171+D172</f>
        <v>5151.53180720265</v>
      </c>
    </row>
    <row r="173" customFormat="false" ht="15" hidden="false" customHeight="false" outlineLevel="0" collapsed="false">
      <c r="A173" s="21" t="n">
        <v>172</v>
      </c>
      <c r="B173" s="22" t="n">
        <f aca="false">MAX(0,F172)</f>
        <v>0</v>
      </c>
      <c r="C173" s="22" t="n">
        <f aca="false">IF(B173&lt;=0,0,MIN('Loan Calculator'!B4,B173*(1+'Loan Calculator'!B7)))</f>
        <v>0</v>
      </c>
      <c r="D173" s="22" t="n">
        <f aca="false">IF(B173&lt;=0,0,B173*'Loan Calculator'!B7)</f>
        <v>0</v>
      </c>
      <c r="E173" s="22" t="n">
        <f aca="false">IF(B173&lt;=0,0,C173-D173)</f>
        <v>0</v>
      </c>
      <c r="F173" s="22" t="n">
        <f aca="false">IF(B173&lt;=0,0,MAX(0,B173-E173))</f>
        <v>0</v>
      </c>
      <c r="G173" s="22" t="n">
        <f aca="false">G172+D173</f>
        <v>5151.53180720265</v>
      </c>
    </row>
    <row r="174" customFormat="false" ht="15" hidden="false" customHeight="false" outlineLevel="0" collapsed="false">
      <c r="A174" s="18" t="n">
        <v>173</v>
      </c>
      <c r="B174" s="19" t="n">
        <f aca="false">MAX(0,F173)</f>
        <v>0</v>
      </c>
      <c r="C174" s="19" t="n">
        <f aca="false">IF(B174&lt;=0,0,MIN('Loan Calculator'!B4,B174*(1+'Loan Calculator'!B7)))</f>
        <v>0</v>
      </c>
      <c r="D174" s="19" t="n">
        <f aca="false">IF(B174&lt;=0,0,B174*'Loan Calculator'!B7)</f>
        <v>0</v>
      </c>
      <c r="E174" s="19" t="n">
        <f aca="false">IF(B174&lt;=0,0,C174-D174)</f>
        <v>0</v>
      </c>
      <c r="F174" s="19" t="n">
        <f aca="false">IF(B174&lt;=0,0,MAX(0,B174-E174))</f>
        <v>0</v>
      </c>
      <c r="G174" s="19" t="n">
        <f aca="false">G173+D174</f>
        <v>5151.53180720265</v>
      </c>
    </row>
    <row r="175" customFormat="false" ht="15" hidden="false" customHeight="false" outlineLevel="0" collapsed="false">
      <c r="A175" s="21" t="n">
        <v>174</v>
      </c>
      <c r="B175" s="22" t="n">
        <f aca="false">MAX(0,F174)</f>
        <v>0</v>
      </c>
      <c r="C175" s="22" t="n">
        <f aca="false">IF(B175&lt;=0,0,MIN('Loan Calculator'!B4,B175*(1+'Loan Calculator'!B7)))</f>
        <v>0</v>
      </c>
      <c r="D175" s="22" t="n">
        <f aca="false">IF(B175&lt;=0,0,B175*'Loan Calculator'!B7)</f>
        <v>0</v>
      </c>
      <c r="E175" s="22" t="n">
        <f aca="false">IF(B175&lt;=0,0,C175-D175)</f>
        <v>0</v>
      </c>
      <c r="F175" s="22" t="n">
        <f aca="false">IF(B175&lt;=0,0,MAX(0,B175-E175))</f>
        <v>0</v>
      </c>
      <c r="G175" s="22" t="n">
        <f aca="false">G174+D175</f>
        <v>5151.53180720265</v>
      </c>
    </row>
    <row r="176" customFormat="false" ht="15" hidden="false" customHeight="false" outlineLevel="0" collapsed="false">
      <c r="A176" s="18" t="n">
        <v>175</v>
      </c>
      <c r="B176" s="19" t="n">
        <f aca="false">MAX(0,F175)</f>
        <v>0</v>
      </c>
      <c r="C176" s="19" t="n">
        <f aca="false">IF(B176&lt;=0,0,MIN('Loan Calculator'!B4,B176*(1+'Loan Calculator'!B7)))</f>
        <v>0</v>
      </c>
      <c r="D176" s="19" t="n">
        <f aca="false">IF(B176&lt;=0,0,B176*'Loan Calculator'!B7)</f>
        <v>0</v>
      </c>
      <c r="E176" s="19" t="n">
        <f aca="false">IF(B176&lt;=0,0,C176-D176)</f>
        <v>0</v>
      </c>
      <c r="F176" s="19" t="n">
        <f aca="false">IF(B176&lt;=0,0,MAX(0,B176-E176))</f>
        <v>0</v>
      </c>
      <c r="G176" s="19" t="n">
        <f aca="false">G175+D176</f>
        <v>5151.53180720265</v>
      </c>
    </row>
    <row r="177" customFormat="false" ht="15" hidden="false" customHeight="false" outlineLevel="0" collapsed="false">
      <c r="A177" s="21" t="n">
        <v>176</v>
      </c>
      <c r="B177" s="22" t="n">
        <f aca="false">MAX(0,F176)</f>
        <v>0</v>
      </c>
      <c r="C177" s="22" t="n">
        <f aca="false">IF(B177&lt;=0,0,MIN('Loan Calculator'!B4,B177*(1+'Loan Calculator'!B7)))</f>
        <v>0</v>
      </c>
      <c r="D177" s="22" t="n">
        <f aca="false">IF(B177&lt;=0,0,B177*'Loan Calculator'!B7)</f>
        <v>0</v>
      </c>
      <c r="E177" s="22" t="n">
        <f aca="false">IF(B177&lt;=0,0,C177-D177)</f>
        <v>0</v>
      </c>
      <c r="F177" s="22" t="n">
        <f aca="false">IF(B177&lt;=0,0,MAX(0,B177-E177))</f>
        <v>0</v>
      </c>
      <c r="G177" s="22" t="n">
        <f aca="false">G176+D177</f>
        <v>5151.53180720265</v>
      </c>
    </row>
    <row r="178" customFormat="false" ht="15" hidden="false" customHeight="false" outlineLevel="0" collapsed="false">
      <c r="A178" s="18" t="n">
        <v>177</v>
      </c>
      <c r="B178" s="19" t="n">
        <f aca="false">MAX(0,F177)</f>
        <v>0</v>
      </c>
      <c r="C178" s="19" t="n">
        <f aca="false">IF(B178&lt;=0,0,MIN('Loan Calculator'!B4,B178*(1+'Loan Calculator'!B7)))</f>
        <v>0</v>
      </c>
      <c r="D178" s="19" t="n">
        <f aca="false">IF(B178&lt;=0,0,B178*'Loan Calculator'!B7)</f>
        <v>0</v>
      </c>
      <c r="E178" s="19" t="n">
        <f aca="false">IF(B178&lt;=0,0,C178-D178)</f>
        <v>0</v>
      </c>
      <c r="F178" s="19" t="n">
        <f aca="false">IF(B178&lt;=0,0,MAX(0,B178-E178))</f>
        <v>0</v>
      </c>
      <c r="G178" s="19" t="n">
        <f aca="false">G177+D178</f>
        <v>5151.53180720265</v>
      </c>
    </row>
    <row r="179" customFormat="false" ht="15" hidden="false" customHeight="false" outlineLevel="0" collapsed="false">
      <c r="A179" s="21" t="n">
        <v>178</v>
      </c>
      <c r="B179" s="22" t="n">
        <f aca="false">MAX(0,F178)</f>
        <v>0</v>
      </c>
      <c r="C179" s="22" t="n">
        <f aca="false">IF(B179&lt;=0,0,MIN('Loan Calculator'!B4,B179*(1+'Loan Calculator'!B7)))</f>
        <v>0</v>
      </c>
      <c r="D179" s="22" t="n">
        <f aca="false">IF(B179&lt;=0,0,B179*'Loan Calculator'!B7)</f>
        <v>0</v>
      </c>
      <c r="E179" s="22" t="n">
        <f aca="false">IF(B179&lt;=0,0,C179-D179)</f>
        <v>0</v>
      </c>
      <c r="F179" s="22" t="n">
        <f aca="false">IF(B179&lt;=0,0,MAX(0,B179-E179))</f>
        <v>0</v>
      </c>
      <c r="G179" s="22" t="n">
        <f aca="false">G178+D179</f>
        <v>5151.53180720265</v>
      </c>
    </row>
    <row r="180" customFormat="false" ht="15" hidden="false" customHeight="false" outlineLevel="0" collapsed="false">
      <c r="A180" s="18" t="n">
        <v>179</v>
      </c>
      <c r="B180" s="19" t="n">
        <f aca="false">MAX(0,F179)</f>
        <v>0</v>
      </c>
      <c r="C180" s="19" t="n">
        <f aca="false">IF(B180&lt;=0,0,MIN('Loan Calculator'!B4,B180*(1+'Loan Calculator'!B7)))</f>
        <v>0</v>
      </c>
      <c r="D180" s="19" t="n">
        <f aca="false">IF(B180&lt;=0,0,B180*'Loan Calculator'!B7)</f>
        <v>0</v>
      </c>
      <c r="E180" s="19" t="n">
        <f aca="false">IF(B180&lt;=0,0,C180-D180)</f>
        <v>0</v>
      </c>
      <c r="F180" s="19" t="n">
        <f aca="false">IF(B180&lt;=0,0,MAX(0,B180-E180))</f>
        <v>0</v>
      </c>
      <c r="G180" s="19" t="n">
        <f aca="false">G179+D180</f>
        <v>5151.53180720265</v>
      </c>
    </row>
    <row r="181" customFormat="false" ht="15" hidden="false" customHeight="false" outlineLevel="0" collapsed="false">
      <c r="A181" s="21" t="n">
        <v>180</v>
      </c>
      <c r="B181" s="22" t="n">
        <f aca="false">MAX(0,F180)</f>
        <v>0</v>
      </c>
      <c r="C181" s="22" t="n">
        <f aca="false">IF(B181&lt;=0,0,MIN('Loan Calculator'!B4,B181*(1+'Loan Calculator'!B7)))</f>
        <v>0</v>
      </c>
      <c r="D181" s="22" t="n">
        <f aca="false">IF(B181&lt;=0,0,B181*'Loan Calculator'!B7)</f>
        <v>0</v>
      </c>
      <c r="E181" s="22" t="n">
        <f aca="false">IF(B181&lt;=0,0,C181-D181)</f>
        <v>0</v>
      </c>
      <c r="F181" s="22" t="n">
        <f aca="false">IF(B181&lt;=0,0,MAX(0,B181-E181))</f>
        <v>0</v>
      </c>
      <c r="G181" s="22" t="n">
        <f aca="false">G180+D181</f>
        <v>5151.53180720265</v>
      </c>
    </row>
    <row r="182" customFormat="false" ht="15" hidden="false" customHeight="false" outlineLevel="0" collapsed="false">
      <c r="A182" s="18" t="n">
        <v>181</v>
      </c>
      <c r="B182" s="19" t="n">
        <f aca="false">MAX(0,F181)</f>
        <v>0</v>
      </c>
      <c r="C182" s="19" t="n">
        <f aca="false">IF(B182&lt;=0,0,MIN('Loan Calculator'!B4,B182*(1+'Loan Calculator'!B7)))</f>
        <v>0</v>
      </c>
      <c r="D182" s="19" t="n">
        <f aca="false">IF(B182&lt;=0,0,B182*'Loan Calculator'!B7)</f>
        <v>0</v>
      </c>
      <c r="E182" s="19" t="n">
        <f aca="false">IF(B182&lt;=0,0,C182-D182)</f>
        <v>0</v>
      </c>
      <c r="F182" s="19" t="n">
        <f aca="false">IF(B182&lt;=0,0,MAX(0,B182-E182))</f>
        <v>0</v>
      </c>
      <c r="G182" s="19" t="n">
        <f aca="false">G181+D182</f>
        <v>5151.53180720265</v>
      </c>
    </row>
    <row r="183" customFormat="false" ht="15" hidden="false" customHeight="false" outlineLevel="0" collapsed="false">
      <c r="A183" s="21" t="n">
        <v>182</v>
      </c>
      <c r="B183" s="22" t="n">
        <f aca="false">MAX(0,F182)</f>
        <v>0</v>
      </c>
      <c r="C183" s="22" t="n">
        <f aca="false">IF(B183&lt;=0,0,MIN('Loan Calculator'!B4,B183*(1+'Loan Calculator'!B7)))</f>
        <v>0</v>
      </c>
      <c r="D183" s="22" t="n">
        <f aca="false">IF(B183&lt;=0,0,B183*'Loan Calculator'!B7)</f>
        <v>0</v>
      </c>
      <c r="E183" s="22" t="n">
        <f aca="false">IF(B183&lt;=0,0,C183-D183)</f>
        <v>0</v>
      </c>
      <c r="F183" s="22" t="n">
        <f aca="false">IF(B183&lt;=0,0,MAX(0,B183-E183))</f>
        <v>0</v>
      </c>
      <c r="G183" s="22" t="n">
        <f aca="false">G182+D183</f>
        <v>5151.53180720265</v>
      </c>
    </row>
    <row r="184" customFormat="false" ht="15" hidden="false" customHeight="false" outlineLevel="0" collapsed="false">
      <c r="A184" s="18" t="n">
        <v>183</v>
      </c>
      <c r="B184" s="19" t="n">
        <f aca="false">MAX(0,F183)</f>
        <v>0</v>
      </c>
      <c r="C184" s="19" t="n">
        <f aca="false">IF(B184&lt;=0,0,MIN('Loan Calculator'!B4,B184*(1+'Loan Calculator'!B7)))</f>
        <v>0</v>
      </c>
      <c r="D184" s="19" t="n">
        <f aca="false">IF(B184&lt;=0,0,B184*'Loan Calculator'!B7)</f>
        <v>0</v>
      </c>
      <c r="E184" s="19" t="n">
        <f aca="false">IF(B184&lt;=0,0,C184-D184)</f>
        <v>0</v>
      </c>
      <c r="F184" s="19" t="n">
        <f aca="false">IF(B184&lt;=0,0,MAX(0,B184-E184))</f>
        <v>0</v>
      </c>
      <c r="G184" s="19" t="n">
        <f aca="false">G183+D184</f>
        <v>5151.53180720265</v>
      </c>
    </row>
    <row r="185" customFormat="false" ht="15" hidden="false" customHeight="false" outlineLevel="0" collapsed="false">
      <c r="A185" s="21" t="n">
        <v>184</v>
      </c>
      <c r="B185" s="22" t="n">
        <f aca="false">MAX(0,F184)</f>
        <v>0</v>
      </c>
      <c r="C185" s="22" t="n">
        <f aca="false">IF(B185&lt;=0,0,MIN('Loan Calculator'!B4,B185*(1+'Loan Calculator'!B7)))</f>
        <v>0</v>
      </c>
      <c r="D185" s="22" t="n">
        <f aca="false">IF(B185&lt;=0,0,B185*'Loan Calculator'!B7)</f>
        <v>0</v>
      </c>
      <c r="E185" s="22" t="n">
        <f aca="false">IF(B185&lt;=0,0,C185-D185)</f>
        <v>0</v>
      </c>
      <c r="F185" s="22" t="n">
        <f aca="false">IF(B185&lt;=0,0,MAX(0,B185-E185))</f>
        <v>0</v>
      </c>
      <c r="G185" s="22" t="n">
        <f aca="false">G184+D185</f>
        <v>5151.53180720265</v>
      </c>
    </row>
    <row r="186" customFormat="false" ht="15" hidden="false" customHeight="false" outlineLevel="0" collapsed="false">
      <c r="A186" s="18" t="n">
        <v>185</v>
      </c>
      <c r="B186" s="19" t="n">
        <f aca="false">MAX(0,F185)</f>
        <v>0</v>
      </c>
      <c r="C186" s="19" t="n">
        <f aca="false">IF(B186&lt;=0,0,MIN('Loan Calculator'!B4,B186*(1+'Loan Calculator'!B7)))</f>
        <v>0</v>
      </c>
      <c r="D186" s="19" t="n">
        <f aca="false">IF(B186&lt;=0,0,B186*'Loan Calculator'!B7)</f>
        <v>0</v>
      </c>
      <c r="E186" s="19" t="n">
        <f aca="false">IF(B186&lt;=0,0,C186-D186)</f>
        <v>0</v>
      </c>
      <c r="F186" s="19" t="n">
        <f aca="false">IF(B186&lt;=0,0,MAX(0,B186-E186))</f>
        <v>0</v>
      </c>
      <c r="G186" s="19" t="n">
        <f aca="false">G185+D186</f>
        <v>5151.53180720265</v>
      </c>
    </row>
    <row r="187" customFormat="false" ht="15" hidden="false" customHeight="false" outlineLevel="0" collapsed="false">
      <c r="A187" s="21" t="n">
        <v>186</v>
      </c>
      <c r="B187" s="22" t="n">
        <f aca="false">MAX(0,F186)</f>
        <v>0</v>
      </c>
      <c r="C187" s="22" t="n">
        <f aca="false">IF(B187&lt;=0,0,MIN('Loan Calculator'!B4,B187*(1+'Loan Calculator'!B7)))</f>
        <v>0</v>
      </c>
      <c r="D187" s="22" t="n">
        <f aca="false">IF(B187&lt;=0,0,B187*'Loan Calculator'!B7)</f>
        <v>0</v>
      </c>
      <c r="E187" s="22" t="n">
        <f aca="false">IF(B187&lt;=0,0,C187-D187)</f>
        <v>0</v>
      </c>
      <c r="F187" s="22" t="n">
        <f aca="false">IF(B187&lt;=0,0,MAX(0,B187-E187))</f>
        <v>0</v>
      </c>
      <c r="G187" s="22" t="n">
        <f aca="false">G186+D187</f>
        <v>5151.53180720265</v>
      </c>
    </row>
    <row r="188" customFormat="false" ht="15" hidden="false" customHeight="false" outlineLevel="0" collapsed="false">
      <c r="A188" s="18" t="n">
        <v>187</v>
      </c>
      <c r="B188" s="19" t="n">
        <f aca="false">MAX(0,F187)</f>
        <v>0</v>
      </c>
      <c r="C188" s="19" t="n">
        <f aca="false">IF(B188&lt;=0,0,MIN('Loan Calculator'!B4,B188*(1+'Loan Calculator'!B7)))</f>
        <v>0</v>
      </c>
      <c r="D188" s="19" t="n">
        <f aca="false">IF(B188&lt;=0,0,B188*'Loan Calculator'!B7)</f>
        <v>0</v>
      </c>
      <c r="E188" s="19" t="n">
        <f aca="false">IF(B188&lt;=0,0,C188-D188)</f>
        <v>0</v>
      </c>
      <c r="F188" s="19" t="n">
        <f aca="false">IF(B188&lt;=0,0,MAX(0,B188-E188))</f>
        <v>0</v>
      </c>
      <c r="G188" s="19" t="n">
        <f aca="false">G187+D188</f>
        <v>5151.53180720265</v>
      </c>
    </row>
    <row r="189" customFormat="false" ht="15" hidden="false" customHeight="false" outlineLevel="0" collapsed="false">
      <c r="A189" s="21" t="n">
        <v>188</v>
      </c>
      <c r="B189" s="22" t="n">
        <f aca="false">MAX(0,F188)</f>
        <v>0</v>
      </c>
      <c r="C189" s="22" t="n">
        <f aca="false">IF(B189&lt;=0,0,MIN('Loan Calculator'!B4,B189*(1+'Loan Calculator'!B7)))</f>
        <v>0</v>
      </c>
      <c r="D189" s="22" t="n">
        <f aca="false">IF(B189&lt;=0,0,B189*'Loan Calculator'!B7)</f>
        <v>0</v>
      </c>
      <c r="E189" s="22" t="n">
        <f aca="false">IF(B189&lt;=0,0,C189-D189)</f>
        <v>0</v>
      </c>
      <c r="F189" s="22" t="n">
        <f aca="false">IF(B189&lt;=0,0,MAX(0,B189-E189))</f>
        <v>0</v>
      </c>
      <c r="G189" s="22" t="n">
        <f aca="false">G188+D189</f>
        <v>5151.53180720265</v>
      </c>
    </row>
    <row r="190" customFormat="false" ht="15" hidden="false" customHeight="false" outlineLevel="0" collapsed="false">
      <c r="A190" s="18" t="n">
        <v>189</v>
      </c>
      <c r="B190" s="19" t="n">
        <f aca="false">MAX(0,F189)</f>
        <v>0</v>
      </c>
      <c r="C190" s="19" t="n">
        <f aca="false">IF(B190&lt;=0,0,MIN('Loan Calculator'!B4,B190*(1+'Loan Calculator'!B7)))</f>
        <v>0</v>
      </c>
      <c r="D190" s="19" t="n">
        <f aca="false">IF(B190&lt;=0,0,B190*'Loan Calculator'!B7)</f>
        <v>0</v>
      </c>
      <c r="E190" s="19" t="n">
        <f aca="false">IF(B190&lt;=0,0,C190-D190)</f>
        <v>0</v>
      </c>
      <c r="F190" s="19" t="n">
        <f aca="false">IF(B190&lt;=0,0,MAX(0,B190-E190))</f>
        <v>0</v>
      </c>
      <c r="G190" s="19" t="n">
        <f aca="false">G189+D190</f>
        <v>5151.53180720265</v>
      </c>
    </row>
    <row r="191" customFormat="false" ht="15" hidden="false" customHeight="false" outlineLevel="0" collapsed="false">
      <c r="A191" s="21" t="n">
        <v>190</v>
      </c>
      <c r="B191" s="22" t="n">
        <f aca="false">MAX(0,F190)</f>
        <v>0</v>
      </c>
      <c r="C191" s="22" t="n">
        <f aca="false">IF(B191&lt;=0,0,MIN('Loan Calculator'!B4,B191*(1+'Loan Calculator'!B7)))</f>
        <v>0</v>
      </c>
      <c r="D191" s="22" t="n">
        <f aca="false">IF(B191&lt;=0,0,B191*'Loan Calculator'!B7)</f>
        <v>0</v>
      </c>
      <c r="E191" s="22" t="n">
        <f aca="false">IF(B191&lt;=0,0,C191-D191)</f>
        <v>0</v>
      </c>
      <c r="F191" s="22" t="n">
        <f aca="false">IF(B191&lt;=0,0,MAX(0,B191-E191))</f>
        <v>0</v>
      </c>
      <c r="G191" s="22" t="n">
        <f aca="false">G190+D191</f>
        <v>5151.53180720265</v>
      </c>
    </row>
    <row r="192" customFormat="false" ht="15" hidden="false" customHeight="false" outlineLevel="0" collapsed="false">
      <c r="A192" s="18" t="n">
        <v>191</v>
      </c>
      <c r="B192" s="19" t="n">
        <f aca="false">MAX(0,F191)</f>
        <v>0</v>
      </c>
      <c r="C192" s="19" t="n">
        <f aca="false">IF(B192&lt;=0,0,MIN('Loan Calculator'!B4,B192*(1+'Loan Calculator'!B7)))</f>
        <v>0</v>
      </c>
      <c r="D192" s="19" t="n">
        <f aca="false">IF(B192&lt;=0,0,B192*'Loan Calculator'!B7)</f>
        <v>0</v>
      </c>
      <c r="E192" s="19" t="n">
        <f aca="false">IF(B192&lt;=0,0,C192-D192)</f>
        <v>0</v>
      </c>
      <c r="F192" s="19" t="n">
        <f aca="false">IF(B192&lt;=0,0,MAX(0,B192-E192))</f>
        <v>0</v>
      </c>
      <c r="G192" s="19" t="n">
        <f aca="false">G191+D192</f>
        <v>5151.53180720265</v>
      </c>
    </row>
    <row r="193" customFormat="false" ht="15" hidden="false" customHeight="false" outlineLevel="0" collapsed="false">
      <c r="A193" s="21" t="n">
        <v>192</v>
      </c>
      <c r="B193" s="22" t="n">
        <f aca="false">MAX(0,F192)</f>
        <v>0</v>
      </c>
      <c r="C193" s="22" t="n">
        <f aca="false">IF(B193&lt;=0,0,MIN('Loan Calculator'!B4,B193*(1+'Loan Calculator'!B7)))</f>
        <v>0</v>
      </c>
      <c r="D193" s="22" t="n">
        <f aca="false">IF(B193&lt;=0,0,B193*'Loan Calculator'!B7)</f>
        <v>0</v>
      </c>
      <c r="E193" s="22" t="n">
        <f aca="false">IF(B193&lt;=0,0,C193-D193)</f>
        <v>0</v>
      </c>
      <c r="F193" s="22" t="n">
        <f aca="false">IF(B193&lt;=0,0,MAX(0,B193-E193))</f>
        <v>0</v>
      </c>
      <c r="G193" s="22" t="n">
        <f aca="false">G192+D193</f>
        <v>5151.53180720265</v>
      </c>
    </row>
    <row r="194" customFormat="false" ht="15" hidden="false" customHeight="false" outlineLevel="0" collapsed="false">
      <c r="A194" s="18" t="n">
        <v>193</v>
      </c>
      <c r="B194" s="19" t="n">
        <f aca="false">MAX(0,F193)</f>
        <v>0</v>
      </c>
      <c r="C194" s="19" t="n">
        <f aca="false">IF(B194&lt;=0,0,MIN('Loan Calculator'!B4,B194*(1+'Loan Calculator'!B7)))</f>
        <v>0</v>
      </c>
      <c r="D194" s="19" t="n">
        <f aca="false">IF(B194&lt;=0,0,B194*'Loan Calculator'!B7)</f>
        <v>0</v>
      </c>
      <c r="E194" s="19" t="n">
        <f aca="false">IF(B194&lt;=0,0,C194-D194)</f>
        <v>0</v>
      </c>
      <c r="F194" s="19" t="n">
        <f aca="false">IF(B194&lt;=0,0,MAX(0,B194-E194))</f>
        <v>0</v>
      </c>
      <c r="G194" s="19" t="n">
        <f aca="false">G193+D194</f>
        <v>5151.53180720265</v>
      </c>
    </row>
    <row r="195" customFormat="false" ht="15" hidden="false" customHeight="false" outlineLevel="0" collapsed="false">
      <c r="A195" s="21" t="n">
        <v>194</v>
      </c>
      <c r="B195" s="22" t="n">
        <f aca="false">MAX(0,F194)</f>
        <v>0</v>
      </c>
      <c r="C195" s="22" t="n">
        <f aca="false">IF(B195&lt;=0,0,MIN('Loan Calculator'!B4,B195*(1+'Loan Calculator'!B7)))</f>
        <v>0</v>
      </c>
      <c r="D195" s="22" t="n">
        <f aca="false">IF(B195&lt;=0,0,B195*'Loan Calculator'!B7)</f>
        <v>0</v>
      </c>
      <c r="E195" s="22" t="n">
        <f aca="false">IF(B195&lt;=0,0,C195-D195)</f>
        <v>0</v>
      </c>
      <c r="F195" s="22" t="n">
        <f aca="false">IF(B195&lt;=0,0,MAX(0,B195-E195))</f>
        <v>0</v>
      </c>
      <c r="G195" s="22" t="n">
        <f aca="false">G194+D195</f>
        <v>5151.53180720265</v>
      </c>
    </row>
    <row r="196" customFormat="false" ht="15" hidden="false" customHeight="false" outlineLevel="0" collapsed="false">
      <c r="A196" s="18" t="n">
        <v>195</v>
      </c>
      <c r="B196" s="19" t="n">
        <f aca="false">MAX(0,F195)</f>
        <v>0</v>
      </c>
      <c r="C196" s="19" t="n">
        <f aca="false">IF(B196&lt;=0,0,MIN('Loan Calculator'!B4,B196*(1+'Loan Calculator'!B7)))</f>
        <v>0</v>
      </c>
      <c r="D196" s="19" t="n">
        <f aca="false">IF(B196&lt;=0,0,B196*'Loan Calculator'!B7)</f>
        <v>0</v>
      </c>
      <c r="E196" s="19" t="n">
        <f aca="false">IF(B196&lt;=0,0,C196-D196)</f>
        <v>0</v>
      </c>
      <c r="F196" s="19" t="n">
        <f aca="false">IF(B196&lt;=0,0,MAX(0,B196-E196))</f>
        <v>0</v>
      </c>
      <c r="G196" s="19" t="n">
        <f aca="false">G195+D196</f>
        <v>5151.53180720265</v>
      </c>
    </row>
    <row r="197" customFormat="false" ht="15" hidden="false" customHeight="false" outlineLevel="0" collapsed="false">
      <c r="A197" s="21" t="n">
        <v>196</v>
      </c>
      <c r="B197" s="22" t="n">
        <f aca="false">MAX(0,F196)</f>
        <v>0</v>
      </c>
      <c r="C197" s="22" t="n">
        <f aca="false">IF(B197&lt;=0,0,MIN('Loan Calculator'!B4,B197*(1+'Loan Calculator'!B7)))</f>
        <v>0</v>
      </c>
      <c r="D197" s="22" t="n">
        <f aca="false">IF(B197&lt;=0,0,B197*'Loan Calculator'!B7)</f>
        <v>0</v>
      </c>
      <c r="E197" s="22" t="n">
        <f aca="false">IF(B197&lt;=0,0,C197-D197)</f>
        <v>0</v>
      </c>
      <c r="F197" s="22" t="n">
        <f aca="false">IF(B197&lt;=0,0,MAX(0,B197-E197))</f>
        <v>0</v>
      </c>
      <c r="G197" s="22" t="n">
        <f aca="false">G196+D197</f>
        <v>5151.53180720265</v>
      </c>
    </row>
    <row r="198" customFormat="false" ht="15" hidden="false" customHeight="false" outlineLevel="0" collapsed="false">
      <c r="A198" s="18" t="n">
        <v>197</v>
      </c>
      <c r="B198" s="19" t="n">
        <f aca="false">MAX(0,F197)</f>
        <v>0</v>
      </c>
      <c r="C198" s="19" t="n">
        <f aca="false">IF(B198&lt;=0,0,MIN('Loan Calculator'!B4,B198*(1+'Loan Calculator'!B7)))</f>
        <v>0</v>
      </c>
      <c r="D198" s="19" t="n">
        <f aca="false">IF(B198&lt;=0,0,B198*'Loan Calculator'!B7)</f>
        <v>0</v>
      </c>
      <c r="E198" s="19" t="n">
        <f aca="false">IF(B198&lt;=0,0,C198-D198)</f>
        <v>0</v>
      </c>
      <c r="F198" s="19" t="n">
        <f aca="false">IF(B198&lt;=0,0,MAX(0,B198-E198))</f>
        <v>0</v>
      </c>
      <c r="G198" s="19" t="n">
        <f aca="false">G197+D198</f>
        <v>5151.53180720265</v>
      </c>
    </row>
    <row r="199" customFormat="false" ht="15" hidden="false" customHeight="false" outlineLevel="0" collapsed="false">
      <c r="A199" s="21" t="n">
        <v>198</v>
      </c>
      <c r="B199" s="22" t="n">
        <f aca="false">MAX(0,F198)</f>
        <v>0</v>
      </c>
      <c r="C199" s="22" t="n">
        <f aca="false">IF(B199&lt;=0,0,MIN('Loan Calculator'!B4,B199*(1+'Loan Calculator'!B7)))</f>
        <v>0</v>
      </c>
      <c r="D199" s="22" t="n">
        <f aca="false">IF(B199&lt;=0,0,B199*'Loan Calculator'!B7)</f>
        <v>0</v>
      </c>
      <c r="E199" s="22" t="n">
        <f aca="false">IF(B199&lt;=0,0,C199-D199)</f>
        <v>0</v>
      </c>
      <c r="F199" s="22" t="n">
        <f aca="false">IF(B199&lt;=0,0,MAX(0,B199-E199))</f>
        <v>0</v>
      </c>
      <c r="G199" s="22" t="n">
        <f aca="false">G198+D199</f>
        <v>5151.53180720265</v>
      </c>
    </row>
    <row r="200" customFormat="false" ht="15" hidden="false" customHeight="false" outlineLevel="0" collapsed="false">
      <c r="A200" s="18" t="n">
        <v>199</v>
      </c>
      <c r="B200" s="19" t="n">
        <f aca="false">MAX(0,F199)</f>
        <v>0</v>
      </c>
      <c r="C200" s="19" t="n">
        <f aca="false">IF(B200&lt;=0,0,MIN('Loan Calculator'!B4,B200*(1+'Loan Calculator'!B7)))</f>
        <v>0</v>
      </c>
      <c r="D200" s="19" t="n">
        <f aca="false">IF(B200&lt;=0,0,B200*'Loan Calculator'!B7)</f>
        <v>0</v>
      </c>
      <c r="E200" s="19" t="n">
        <f aca="false">IF(B200&lt;=0,0,C200-D200)</f>
        <v>0</v>
      </c>
      <c r="F200" s="19" t="n">
        <f aca="false">IF(B200&lt;=0,0,MAX(0,B200-E200))</f>
        <v>0</v>
      </c>
      <c r="G200" s="19" t="n">
        <f aca="false">G199+D200</f>
        <v>5151.53180720265</v>
      </c>
    </row>
    <row r="201" customFormat="false" ht="15" hidden="false" customHeight="false" outlineLevel="0" collapsed="false">
      <c r="A201" s="21" t="n">
        <v>200</v>
      </c>
      <c r="B201" s="22" t="n">
        <f aca="false">MAX(0,F200)</f>
        <v>0</v>
      </c>
      <c r="C201" s="22" t="n">
        <f aca="false">IF(B201&lt;=0,0,MIN('Loan Calculator'!B4,B201*(1+'Loan Calculator'!B7)))</f>
        <v>0</v>
      </c>
      <c r="D201" s="22" t="n">
        <f aca="false">IF(B201&lt;=0,0,B201*'Loan Calculator'!B7)</f>
        <v>0</v>
      </c>
      <c r="E201" s="22" t="n">
        <f aca="false">IF(B201&lt;=0,0,C201-D201)</f>
        <v>0</v>
      </c>
      <c r="F201" s="22" t="n">
        <f aca="false">IF(B201&lt;=0,0,MAX(0,B201-E201))</f>
        <v>0</v>
      </c>
      <c r="G201" s="22" t="n">
        <f aca="false">G200+D201</f>
        <v>5151.53180720265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2026-04-27T15:36:54Z</dcterms:created>
  <dc:creator>openpyxl</dc:creator>
  <dc:description/>
  <dc:language>en-US</dc:language>
  <cp:lastModifiedBy/>
  <dcterms:modified xsi:type="dcterms:W3CDTF">2026-04-27T15:36:54Z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