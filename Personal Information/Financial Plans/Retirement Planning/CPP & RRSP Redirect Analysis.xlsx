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PP value" sheetId="2" state="visible" r:id="rId4"/>
    <sheet name="RRSP room fill" sheetId="3" state="visible" r:id="rId5"/>
    <sheet name="Deci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<sst xmlns="http://schemas.openxmlformats.org/spreadsheetml/2006/main" count="74" uniqueCount="72">
  <si>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CPP-at-61 Redirect vs. Defer — Assumptions</t>
  </si>
  <si>
    <t xml:space="preserve">Real discount rate / real return</t>
  </si>
  <si>
    <t xml:space="preserve">CPI-indexed CPP held flat in real $ (file 11)</t>
  </si>
  <si>
    <t xml:space="preserve">Marginal tax rate — now (working)</t>
  </si>
  <si>
    <t xml:space="preserve">Alberta ~$200k+ band, 2026 (confirm vs NOA)</t>
  </si>
  <si>
    <t xml:space="preserve">Marginal tax rate — retirement</t>
  </si>
  <si>
    <t xml:space="preserve">On RRSP/RRIF withdrawals at ~$94k income</t>
  </si>
  <si>
    <t xml:space="preserve">Current age</t>
  </si>
  <si>
    <t xml:space="preserve">Born Feb 1, 1965 (file 01)</t>
  </si>
  <si>
    <t xml:space="preserve">Planning-to age</t>
  </si>
  <si>
    <t xml:space="preserve">Base case (file 01)</t>
  </si>
  <si>
    <t xml:space="preserve">RRSP unused room</t>
  </si>
  <si>
    <t xml:space="preserve">File 08 (Alec)</t>
  </si>
  <si>
    <t xml:space="preserve">CPP annual — start age 61</t>
  </si>
  <si>
    <t xml:space="preserve">Source: MSCA estimate (file 07)</t>
  </si>
  <si>
    <t xml:space="preserve">CPP annual — start age 65</t>
  </si>
  <si>
    <t xml:space="preserve">CPP annual — start age 70</t>
  </si>
  <si>
    <t xml:space="preserve">Volvo loan freed cash/yr (from ~Nov 2026)</t>
  </si>
  <si>
    <t xml:space="preserve">File 05 — frees ~0.5 yr from now</t>
  </si>
  <si>
    <t xml:space="preserve">Insurance reduction/yr (from ~2027)</t>
  </si>
  <si>
    <t xml:space="preserve">File 05 — son off auto, ~1 yr out</t>
  </si>
  <si>
    <t xml:space="preserve">Bolt loan freed cash/yr (from ~2031)</t>
  </si>
  <si>
    <t xml:space="preserve">File 05 — ~4.5 yr out</t>
  </si>
  <si>
    <t xml:space="preserve">Existing voluntary RRSP/yr</t>
  </si>
  <si>
    <t xml:space="preserve">File 03 — ~$79/pay</t>
  </si>
  <si>
    <t xml:space="preserve">Years to retirement — 2030 path</t>
  </si>
  <si>
    <t xml:space="preserve">mid-2026 to Feb 2030</t>
  </si>
  <si>
    <t xml:space="preserve">Years to retirement — 2032 path</t>
  </si>
  <si>
    <t xml:space="preserve">mid-2026 to Feb 2032</t>
  </si>
  <si>
    <t xml:space="preserve">Blue = input you can change. Yellow = key assumption.</t>
  </si>
  <si>
    <t xml:space="preserve">Lifetime CPP value by start age (real $, PV at current age)</t>
  </si>
  <si>
    <t xml:space="preserve">Age</t>
  </si>
  <si>
    <t xml:space="preserve">Years from now</t>
  </si>
  <si>
    <t xml:space="preserve">Discount factor</t>
  </si>
  <si>
    <t xml:space="preserve">CPP if start 61</t>
  </si>
  <si>
    <t xml:space="preserve">CPP if start 65</t>
  </si>
  <si>
    <t xml:space="preserve">CPP if start 70</t>
  </si>
  <si>
    <t xml:space="preserve">PV start 61</t>
  </si>
  <si>
    <t xml:space="preserve">PV start 65</t>
  </si>
  <si>
    <t xml:space="preserve">PV start 70</t>
  </si>
  <si>
    <t xml:space="preserve">Cum. real start 61</t>
  </si>
  <si>
    <t xml:space="preserve">Cum. real start 65</t>
  </si>
  <si>
    <t xml:space="preserve">Cum. real start 70</t>
  </si>
  <si>
    <t xml:space="preserve">PV total</t>
  </si>
  <si>
    <t xml:space="preserve">Filling RRSP room from freed loan cash (no early CPP)</t>
  </si>
  <si>
    <t xml:space="preserve">Source</t>
  </si>
  <si>
    <t xml:space="preserve">By 2030 retire</t>
  </si>
  <si>
    <t xml:space="preserve">By 2032 retire</t>
  </si>
  <si>
    <t xml:space="preserve">Volvo freed (from ~Nov 2026)</t>
  </si>
  <si>
    <t xml:space="preserve">Insurance reduction (~2027)</t>
  </si>
  <si>
    <t xml:space="preserve">Bolt freed (~2031)</t>
  </si>
  <si>
    <t xml:space="preserve">Existing voluntary RRSP</t>
  </si>
  <si>
    <t xml:space="preserve">Total filled from freed cash</t>
  </si>
  <si>
    <t xml:space="preserve">RRSP room left UNFILLED</t>
  </si>
  <si>
    <t xml:space="preserve">The trade: take CPP at 61 to fill room  vs.  defer CPP</t>
  </si>
  <si>
    <t xml:space="preserve">PV of CPP — start 61</t>
  </si>
  <si>
    <t xml:space="preserve">PV of CPP — start 65</t>
  </si>
  <si>
    <t xml:space="preserve">PV of CPP — start 70</t>
  </si>
  <si>
    <t xml:space="preserve">Deferral gain: 65 vs 61</t>
  </si>
  <si>
    <t xml:space="preserve">Cost of taking CPP at 61 instead of 65</t>
  </si>
  <si>
    <t xml:space="preserve">Deferral gain: 70 vs 61</t>
  </si>
  <si>
    <t xml:space="preserve">2030 path — should you fill the gap with early CPP?</t>
  </si>
  <si>
    <t xml:space="preserve">RRSP room left unfilled (2030)</t>
  </si>
  <si>
    <t xml:space="preserve">  Deduction capture if filled (bracket spread)</t>
  </si>
  <si>
    <t xml:space="preserve">Deduct now @43%, withdraw @33% = ~10%</t>
  </si>
  <si>
    <t xml:space="preserve">  Less: CPP reduction cost (PV, 65 vs 61)</t>
  </si>
  <si>
    <t xml:space="preserve">  NET of using early CPP to fill room</t>
  </si>
  <si>
    <t xml:space="preserve">Negative = early CPP loses</t>
  </si>
  <si>
    <t xml:space="preserve">2032 path</t>
  </si>
  <si>
    <t xml:space="preserve">RRSP room left unfilled (2032)</t>
  </si>
  <si>
    <t xml:space="preserve">Freed loan cash nearly fills it — no need to touch CPP</t>
  </si>
  <si>
    <t xml:space="preserve">VERDICT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</si>
</sst>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\$#,##0;&quot;($&quot;#,##0\);\-"/>
    <numFmt numFmtId="168" formatCode="0.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0.03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v>0.43</v>
      </c>
      <c r="C4" s="4" t="s">
        <v>4</v>
      </c>
    </row>
    <row r="5" customFormat="false" ht="15" hidden="false" customHeight="false" outlineLevel="0" collapsed="false">
      <c r="A5" s="2" t="s">
        <v>5</v>
      </c>
      <c r="B5" s="3" t="n">
        <v>0.33</v>
      </c>
      <c r="C5" s="4" t="s">
        <v>6</v>
      </c>
    </row>
    <row r="6" customFormat="false" ht="15" hidden="false" customHeight="false" outlineLevel="0" collapsed="false">
      <c r="A6" s="2" t="s">
        <v>7</v>
      </c>
      <c r="B6" s="5" t="n">
        <v>61</v>
      </c>
      <c r="C6" s="4" t="s">
        <v>8</v>
      </c>
    </row>
    <row r="7" customFormat="false" ht="15" hidden="false" customHeight="false" outlineLevel="0" collapsed="false">
      <c r="A7" s="2" t="s">
        <v>9</v>
      </c>
      <c r="B7" s="5" t="n">
        <v>90</v>
      </c>
      <c r="C7" s="4" t="s">
        <v>10</v>
      </c>
    </row>
    <row r="8" customFormat="false" ht="15" hidden="false" customHeight="false" outlineLevel="0" collapsed="false">
      <c r="A8" s="2" t="s">
        <v>11</v>
      </c>
      <c r="B8" s="6" t="n">
        <v>89071</v>
      </c>
      <c r="C8" s="4" t="s">
        <v>12</v>
      </c>
    </row>
    <row r="9" customFormat="false" ht="15" hidden="false" customHeight="false" outlineLevel="0" collapsed="false">
      <c r="A9" s="2" t="s">
        <v>13</v>
      </c>
      <c r="B9" s="6" t="n">
        <v>13315.56</v>
      </c>
      <c r="C9" s="4" t="s">
        <v>14</v>
      </c>
    </row>
    <row r="10" customFormat="false" ht="15" hidden="false" customHeight="false" outlineLevel="0" collapsed="false">
      <c r="A10" s="2" t="s">
        <v>15</v>
      </c>
      <c r="B10" s="6" t="n">
        <v>18091.8</v>
      </c>
      <c r="C10" s="4" t="s">
        <v>14</v>
      </c>
    </row>
    <row r="11" customFormat="false" ht="15" hidden="false" customHeight="false" outlineLevel="0" collapsed="false">
      <c r="A11" s="2" t="s">
        <v>16</v>
      </c>
      <c r="B11" s="6" t="n">
        <v>25690.32</v>
      </c>
      <c r="C11" s="4" t="s">
        <v>14</v>
      </c>
    </row>
    <row r="12" customFormat="false" ht="15" hidden="false" customHeight="false" outlineLevel="0" collapsed="false">
      <c r="A12" s="2" t="s">
        <v>17</v>
      </c>
      <c r="B12" s="6" t="n">
        <v>10267</v>
      </c>
      <c r="C12" s="4" t="s">
        <v>18</v>
      </c>
    </row>
    <row r="13" customFormat="false" ht="15" hidden="false" customHeight="false" outlineLevel="0" collapsed="false">
      <c r="A13" s="2" t="s">
        <v>19</v>
      </c>
      <c r="B13" s="6" t="n">
        <v>1800</v>
      </c>
      <c r="C13" s="4" t="s">
        <v>20</v>
      </c>
    </row>
    <row r="14" customFormat="false" ht="15" hidden="false" customHeight="false" outlineLevel="0" collapsed="false">
      <c r="A14" s="2" t="s">
        <v>21</v>
      </c>
      <c r="B14" s="6" t="n">
        <v>9509</v>
      </c>
      <c r="C14" s="4" t="s">
        <v>22</v>
      </c>
    </row>
    <row r="15" customFormat="false" ht="15" hidden="false" customHeight="false" outlineLevel="0" collapsed="false">
      <c r="A15" s="2" t="s">
        <v>23</v>
      </c>
      <c r="B15" s="6" t="n">
        <v>2054</v>
      </c>
      <c r="C15" s="4" t="s">
        <v>24</v>
      </c>
    </row>
    <row r="16" customFormat="false" ht="15" hidden="false" customHeight="false" outlineLevel="0" collapsed="false">
      <c r="A16" s="2" t="s">
        <v>25</v>
      </c>
      <c r="B16" s="7" t="n">
        <v>3.6</v>
      </c>
      <c r="C16" s="4" t="s">
        <v>26</v>
      </c>
    </row>
    <row r="17" customFormat="false" ht="15" hidden="false" customHeight="false" outlineLevel="0" collapsed="false">
      <c r="A17" s="2" t="s">
        <v>27</v>
      </c>
      <c r="B17" s="7" t="n">
        <v>5.6</v>
      </c>
      <c r="C17" s="4" t="s">
        <v>28</v>
      </c>
    </row>
    <row r="19" customFormat="false" ht="15" hidden="false" customHeight="false" outlineLevel="0" collapsed="false">
      <c r="A19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6" min="4" style="0" width="13"/>
    <col collapsed="false" customWidth="true" hidden="false" outlineLevel="0" max="9" min="7" style="0" width="12"/>
    <col collapsed="false" customWidth="true" hidden="false" outlineLevel="0" max="12" min="10" style="0" width="13"/>
  </cols>
  <sheetData>
    <row r="1" customFormat="false" ht="17.35" hidden="false" customHeight="false" outlineLevel="0" collapsed="false">
      <c r="A1" s="1" t="s">
        <v>30</v>
      </c>
    </row>
    <row r="3" customFormat="false" ht="26.85" hidden="false" customHeight="false" outlineLevel="0" collapsed="false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</row>
    <row r="4" customFormat="false" ht="15" hidden="false" customHeight="false" outlineLevel="0" collapsed="false">
      <c r="A4" s="9" t="n">
        <v>61</v>
      </c>
      <c r="B4" s="9" t="n">
        <f aca="false">A4-Assumptions!$B$6</f>
        <v>0</v>
      </c>
      <c r="C4" s="10" t="n">
        <f aca="false">1/(1+Assumptions!$B$3)^B4</f>
        <v>1</v>
      </c>
      <c r="D4" s="11" t="n">
        <f aca="false">IF(AND(A4&gt;=61,A4&lt;=Assumptions!$B$7),Assumptions!$B$9,0)</f>
        <v>13315.56</v>
      </c>
      <c r="E4" s="11" t="n">
        <f aca="false">IF(AND(A4&gt;=65,A4&lt;=Assumptions!$B$7),Assumptions!$B$10,0)</f>
        <v>0</v>
      </c>
      <c r="F4" s="11" t="n">
        <f aca="false">IF(AND(A4&gt;=70,A4&lt;=Assumptions!$B$7),Assumptions!$B$11,0)</f>
        <v>0</v>
      </c>
      <c r="G4" s="11" t="n">
        <f aca="false">D4*C4</f>
        <v>13315.56</v>
      </c>
      <c r="H4" s="11" t="n">
        <f aca="false">E4*C4</f>
        <v>0</v>
      </c>
      <c r="I4" s="11" t="n">
        <f aca="false">F4*C4</f>
        <v>0</v>
      </c>
      <c r="J4" s="11" t="n">
        <f aca="false">D4</f>
        <v>13315.56</v>
      </c>
      <c r="K4" s="11" t="n">
        <f aca="false">E4</f>
        <v>0</v>
      </c>
      <c r="L4" s="11" t="n">
        <f aca="false">F4</f>
        <v>0</v>
      </c>
    </row>
    <row r="5" customFormat="false" ht="15" hidden="false" customHeight="false" outlineLevel="0" collapsed="false">
      <c r="A5" s="9" t="n">
        <v>62</v>
      </c>
      <c r="B5" s="9" t="n">
        <f aca="false">A5-Assumptions!$B$6</f>
        <v>1</v>
      </c>
      <c r="C5" s="10" t="n">
        <f aca="false">1/(1+Assumptions!$B$3)^B5</f>
        <v>0.970873786407767</v>
      </c>
      <c r="D5" s="11" t="n">
        <f aca="false">IF(AND(A5&gt;=61,A5&lt;=Assumptions!$B$7),Assumptions!$B$9,0)</f>
        <v>13315.56</v>
      </c>
      <c r="E5" s="11" t="n">
        <f aca="false">IF(AND(A5&gt;=65,A5&lt;=Assumptions!$B$7),Assumptions!$B$10,0)</f>
        <v>0</v>
      </c>
      <c r="F5" s="11" t="n">
        <f aca="false">IF(AND(A5&gt;=70,A5&lt;=Assumptions!$B$7),Assumptions!$B$11,0)</f>
        <v>0</v>
      </c>
      <c r="G5" s="11" t="n">
        <f aca="false">D5*C5</f>
        <v>12927.7281553398</v>
      </c>
      <c r="H5" s="11" t="n">
        <f aca="false">E5*C5</f>
        <v>0</v>
      </c>
      <c r="I5" s="11" t="n">
        <f aca="false">F5*C5</f>
        <v>0</v>
      </c>
      <c r="J5" s="11" t="n">
        <f aca="false">IF(A5=61,D5,J4+D5)</f>
        <v>26631.12</v>
      </c>
      <c r="K5" s="11" t="n">
        <f aca="false">IF(A5=61,E5,K4+E5)</f>
        <v>0</v>
      </c>
      <c r="L5" s="11" t="n">
        <f aca="false">IF(A5=61,F5,L4+F5)</f>
        <v>0</v>
      </c>
    </row>
    <row r="6" customFormat="false" ht="15" hidden="false" customHeight="false" outlineLevel="0" collapsed="false">
      <c r="A6" s="9" t="n">
        <v>63</v>
      </c>
      <c r="B6" s="9" t="n">
        <f aca="false">A6-Assumptions!$B$6</f>
        <v>2</v>
      </c>
      <c r="C6" s="10" t="n">
        <f aca="false">1/(1+Assumptions!$B$3)^B6</f>
        <v>0.942595909133754</v>
      </c>
      <c r="D6" s="11" t="n">
        <f aca="false">IF(AND(A6&gt;=61,A6&lt;=Assumptions!$B$7),Assumptions!$B$9,0)</f>
        <v>13315.56</v>
      </c>
      <c r="E6" s="11" t="n">
        <f aca="false">IF(AND(A6&gt;=65,A6&lt;=Assumptions!$B$7),Assumptions!$B$10,0)</f>
        <v>0</v>
      </c>
      <c r="F6" s="11" t="n">
        <f aca="false">IF(AND(A6&gt;=70,A6&lt;=Assumptions!$B$7),Assumptions!$B$11,0)</f>
        <v>0</v>
      </c>
      <c r="G6" s="11" t="n">
        <f aca="false">D6*C6</f>
        <v>12551.1923838251</v>
      </c>
      <c r="H6" s="11" t="n">
        <f aca="false">E6*C6</f>
        <v>0</v>
      </c>
      <c r="I6" s="11" t="n">
        <f aca="false">F6*C6</f>
        <v>0</v>
      </c>
      <c r="J6" s="11" t="n">
        <f aca="false">IF(A6=61,D6,J5+D6)</f>
        <v>39946.68</v>
      </c>
      <c r="K6" s="11" t="n">
        <f aca="false">IF(A6=61,E6,K5+E6)</f>
        <v>0</v>
      </c>
      <c r="L6" s="11" t="n">
        <f aca="false">IF(A6=61,F6,L5+F6)</f>
        <v>0</v>
      </c>
    </row>
    <row r="7" customFormat="false" ht="15" hidden="false" customHeight="false" outlineLevel="0" collapsed="false">
      <c r="A7" s="9" t="n">
        <v>64</v>
      </c>
      <c r="B7" s="9" t="n">
        <f aca="false">A7-Assumptions!$B$6</f>
        <v>3</v>
      </c>
      <c r="C7" s="10" t="n">
        <f aca="false">1/(1+Assumptions!$B$3)^B7</f>
        <v>0.91514165935316</v>
      </c>
      <c r="D7" s="11" t="n">
        <f aca="false">IF(AND(A7&gt;=61,A7&lt;=Assumptions!$B$7),Assumptions!$B$9,0)</f>
        <v>13315.56</v>
      </c>
      <c r="E7" s="11" t="n">
        <f aca="false">IF(AND(A7&gt;=65,A7&lt;=Assumptions!$B$7),Assumptions!$B$10,0)</f>
        <v>0</v>
      </c>
      <c r="F7" s="11" t="n">
        <f aca="false">IF(AND(A7&gt;=70,A7&lt;=Assumptions!$B$7),Assumptions!$B$11,0)</f>
        <v>0</v>
      </c>
      <c r="G7" s="11" t="n">
        <f aca="false">D7*C7</f>
        <v>12185.6236736166</v>
      </c>
      <c r="H7" s="11" t="n">
        <f aca="false">E7*C7</f>
        <v>0</v>
      </c>
      <c r="I7" s="11" t="n">
        <f aca="false">F7*C7</f>
        <v>0</v>
      </c>
      <c r="J7" s="11" t="n">
        <f aca="false">IF(A7=61,D7,J6+D7)</f>
        <v>53262.24</v>
      </c>
      <c r="K7" s="11" t="n">
        <f aca="false">IF(A7=61,E7,K6+E7)</f>
        <v>0</v>
      </c>
      <c r="L7" s="11" t="n">
        <f aca="false">IF(A7=61,F7,L6+F7)</f>
        <v>0</v>
      </c>
    </row>
    <row r="8" customFormat="false" ht="15" hidden="false" customHeight="false" outlineLevel="0" collapsed="false">
      <c r="A8" s="9" t="n">
        <v>65</v>
      </c>
      <c r="B8" s="9" t="n">
        <f aca="false">A8-Assumptions!$B$6</f>
        <v>4</v>
      </c>
      <c r="C8" s="10" t="n">
        <f aca="false">1/(1+Assumptions!$B$3)^B8</f>
        <v>0.888487047915689</v>
      </c>
      <c r="D8" s="11" t="n">
        <f aca="false">IF(AND(A8&gt;=61,A8&lt;=Assumptions!$B$7),Assumptions!$B$9,0)</f>
        <v>13315.56</v>
      </c>
      <c r="E8" s="11" t="n">
        <f aca="false">IF(AND(A8&gt;=65,A8&lt;=Assumptions!$B$7),Assumptions!$B$10,0)</f>
        <v>18091.8</v>
      </c>
      <c r="F8" s="11" t="n">
        <f aca="false">IF(AND(A8&gt;=70,A8&lt;=Assumptions!$B$7),Assumptions!$B$11,0)</f>
        <v>0</v>
      </c>
      <c r="G8" s="11" t="n">
        <f aca="false">D8*C8</f>
        <v>11830.7025957442</v>
      </c>
      <c r="H8" s="11" t="n">
        <f aca="false">E8*C8</f>
        <v>16074.3299734811</v>
      </c>
      <c r="I8" s="11" t="n">
        <f aca="false">F8*C8</f>
        <v>0</v>
      </c>
      <c r="J8" s="11" t="n">
        <f aca="false">IF(A8=61,D8,J7+D8)</f>
        <v>66577.8</v>
      </c>
      <c r="K8" s="11" t="n">
        <f aca="false">IF(A8=61,E8,K7+E8)</f>
        <v>18091.8</v>
      </c>
      <c r="L8" s="11" t="n">
        <f aca="false">IF(A8=61,F8,L7+F8)</f>
        <v>0</v>
      </c>
    </row>
    <row r="9" customFormat="false" ht="15" hidden="false" customHeight="false" outlineLevel="0" collapsed="false">
      <c r="A9" s="9" t="n">
        <v>66</v>
      </c>
      <c r="B9" s="9" t="n">
        <f aca="false">A9-Assumptions!$B$6</f>
        <v>5</v>
      </c>
      <c r="C9" s="10" t="n">
        <f aca="false">1/(1+Assumptions!$B$3)^B9</f>
        <v>0.862608784384164</v>
      </c>
      <c r="D9" s="11" t="n">
        <f aca="false">IF(AND(A9&gt;=61,A9&lt;=Assumptions!$B$7),Assumptions!$B$9,0)</f>
        <v>13315.56</v>
      </c>
      <c r="E9" s="11" t="n">
        <f aca="false">IF(AND(A9&gt;=65,A9&lt;=Assumptions!$B$7),Assumptions!$B$10,0)</f>
        <v>18091.8</v>
      </c>
      <c r="F9" s="11" t="n">
        <f aca="false">IF(AND(A9&gt;=70,A9&lt;=Assumptions!$B$7),Assumptions!$B$11,0)</f>
        <v>0</v>
      </c>
      <c r="G9" s="11" t="n">
        <f aca="false">D9*C9</f>
        <v>11486.1190249944</v>
      </c>
      <c r="H9" s="11" t="n">
        <f aca="false">E9*C9</f>
        <v>15606.1456053214</v>
      </c>
      <c r="I9" s="11" t="n">
        <f aca="false">F9*C9</f>
        <v>0</v>
      </c>
      <c r="J9" s="11" t="n">
        <f aca="false">IF(A9=61,D9,J8+D9)</f>
        <v>79893.36</v>
      </c>
      <c r="K9" s="11" t="n">
        <f aca="false">IF(A9=61,E9,K8+E9)</f>
        <v>36183.6</v>
      </c>
      <c r="L9" s="11" t="n">
        <f aca="false">IF(A9=61,F9,L8+F9)</f>
        <v>0</v>
      </c>
    </row>
    <row r="10" customFormat="false" ht="15" hidden="false" customHeight="false" outlineLevel="0" collapsed="false">
      <c r="A10" s="9" t="n">
        <v>67</v>
      </c>
      <c r="B10" s="9" t="n">
        <f aca="false">A10-Assumptions!$B$6</f>
        <v>6</v>
      </c>
      <c r="C10" s="10" t="n">
        <f aca="false">1/(1+Assumptions!$B$3)^B10</f>
        <v>0.837484256683654</v>
      </c>
      <c r="D10" s="11" t="n">
        <f aca="false">IF(AND(A10&gt;=61,A10&lt;=Assumptions!$B$7),Assumptions!$B$9,0)</f>
        <v>13315.56</v>
      </c>
      <c r="E10" s="11" t="n">
        <f aca="false">IF(AND(A10&gt;=65,A10&lt;=Assumptions!$B$7),Assumptions!$B$10,0)</f>
        <v>18091.8</v>
      </c>
      <c r="F10" s="11" t="n">
        <f aca="false">IF(AND(A10&gt;=70,A10&lt;=Assumptions!$B$7),Assumptions!$B$11,0)</f>
        <v>0</v>
      </c>
      <c r="G10" s="11" t="n">
        <f aca="false">D10*C10</f>
        <v>11151.5718689266</v>
      </c>
      <c r="H10" s="11" t="n">
        <f aca="false">E10*C10</f>
        <v>15151.5976750693</v>
      </c>
      <c r="I10" s="11" t="n">
        <f aca="false">F10*C10</f>
        <v>0</v>
      </c>
      <c r="J10" s="11" t="n">
        <f aca="false">IF(A10=61,D10,J9+D10)</f>
        <v>93208.92</v>
      </c>
      <c r="K10" s="11" t="n">
        <f aca="false">IF(A10=61,E10,K9+E10)</f>
        <v>54275.4</v>
      </c>
      <c r="L10" s="11" t="n">
        <f aca="false">IF(A10=61,F10,L9+F10)</f>
        <v>0</v>
      </c>
    </row>
    <row r="11" customFormat="false" ht="15" hidden="false" customHeight="false" outlineLevel="0" collapsed="false">
      <c r="A11" s="9" t="n">
        <v>68</v>
      </c>
      <c r="B11" s="9" t="n">
        <f aca="false">A11-Assumptions!$B$6</f>
        <v>7</v>
      </c>
      <c r="C11" s="10" t="n">
        <f aca="false">1/(1+Assumptions!$B$3)^B11</f>
        <v>0.813091511343354</v>
      </c>
      <c r="D11" s="11" t="n">
        <f aca="false">IF(AND(A11&gt;=61,A11&lt;=Assumptions!$B$7),Assumptions!$B$9,0)</f>
        <v>13315.56</v>
      </c>
      <c r="E11" s="11" t="n">
        <f aca="false">IF(AND(A11&gt;=65,A11&lt;=Assumptions!$B$7),Assumptions!$B$10,0)</f>
        <v>18091.8</v>
      </c>
      <c r="F11" s="11" t="n">
        <f aca="false">IF(AND(A11&gt;=70,A11&lt;=Assumptions!$B$7),Assumptions!$B$11,0)</f>
        <v>0</v>
      </c>
      <c r="G11" s="11" t="n">
        <f aca="false">D11*C11</f>
        <v>10826.7688047831</v>
      </c>
      <c r="H11" s="11" t="n">
        <f aca="false">E11*C11</f>
        <v>14710.2890049217</v>
      </c>
      <c r="I11" s="11" t="n">
        <f aca="false">F11*C11</f>
        <v>0</v>
      </c>
      <c r="J11" s="11" t="n">
        <f aca="false">IF(A11=61,D11,J10+D11)</f>
        <v>106524.48</v>
      </c>
      <c r="K11" s="11" t="n">
        <f aca="false">IF(A11=61,E11,K10+E11)</f>
        <v>72367.2</v>
      </c>
      <c r="L11" s="11" t="n">
        <f aca="false">IF(A11=61,F11,L10+F11)</f>
        <v>0</v>
      </c>
    </row>
    <row r="12" customFormat="false" ht="15" hidden="false" customHeight="false" outlineLevel="0" collapsed="false">
      <c r="A12" s="9" t="n">
        <v>69</v>
      </c>
      <c r="B12" s="9" t="n">
        <f aca="false">A12-Assumptions!$B$6</f>
        <v>8</v>
      </c>
      <c r="C12" s="10" t="n">
        <f aca="false">1/(1+Assumptions!$B$3)^B12</f>
        <v>0.789409234313936</v>
      </c>
      <c r="D12" s="11" t="n">
        <f aca="false">IF(AND(A12&gt;=61,A12&lt;=Assumptions!$B$7),Assumptions!$B$9,0)</f>
        <v>13315.56</v>
      </c>
      <c r="E12" s="11" t="n">
        <f aca="false">IF(AND(A12&gt;=65,A12&lt;=Assumptions!$B$7),Assumptions!$B$10,0)</f>
        <v>18091.8</v>
      </c>
      <c r="F12" s="11" t="n">
        <f aca="false">IF(AND(A12&gt;=70,A12&lt;=Assumptions!$B$7),Assumptions!$B$11,0)</f>
        <v>0</v>
      </c>
      <c r="G12" s="11" t="n">
        <f aca="false">D12*C12</f>
        <v>10511.4260240613</v>
      </c>
      <c r="H12" s="11" t="n">
        <f aca="false">E12*C12</f>
        <v>14281.8339853609</v>
      </c>
      <c r="I12" s="11" t="n">
        <f aca="false">F12*C12</f>
        <v>0</v>
      </c>
      <c r="J12" s="11" t="n">
        <f aca="false">IF(A12=61,D12,J11+D12)</f>
        <v>119840.04</v>
      </c>
      <c r="K12" s="11" t="n">
        <f aca="false">IF(A12=61,E12,K11+E12)</f>
        <v>90459</v>
      </c>
      <c r="L12" s="11" t="n">
        <f aca="false">IF(A12=61,F12,L11+F12)</f>
        <v>0</v>
      </c>
    </row>
    <row r="13" customFormat="false" ht="15" hidden="false" customHeight="false" outlineLevel="0" collapsed="false">
      <c r="A13" s="9" t="n">
        <v>70</v>
      </c>
      <c r="B13" s="9" t="n">
        <f aca="false">A13-Assumptions!$B$6</f>
        <v>9</v>
      </c>
      <c r="C13" s="10" t="n">
        <f aca="false">1/(1+Assumptions!$B$3)^B13</f>
        <v>0.766416732343627</v>
      </c>
      <c r="D13" s="11" t="n">
        <f aca="false">IF(AND(A13&gt;=61,A13&lt;=Assumptions!$B$7),Assumptions!$B$9,0)</f>
        <v>13315.56</v>
      </c>
      <c r="E13" s="11" t="n">
        <f aca="false">IF(AND(A13&gt;=65,A13&lt;=Assumptions!$B$7),Assumptions!$B$10,0)</f>
        <v>18091.8</v>
      </c>
      <c r="F13" s="11" t="n">
        <f aca="false">IF(AND(A13&gt;=70,A13&lt;=Assumptions!$B$7),Assumptions!$B$11,0)</f>
        <v>25690.32</v>
      </c>
      <c r="G13" s="11" t="n">
        <f aca="false">D13*C13</f>
        <v>10205.2679845255</v>
      </c>
      <c r="H13" s="11" t="n">
        <f aca="false">E13*C13</f>
        <v>13865.8582382144</v>
      </c>
      <c r="I13" s="11" t="n">
        <f aca="false">F13*C13</f>
        <v>19689.4911072621</v>
      </c>
      <c r="J13" s="11" t="n">
        <f aca="false">IF(A13=61,D13,J12+D13)</f>
        <v>133155.6</v>
      </c>
      <c r="K13" s="11" t="n">
        <f aca="false">IF(A13=61,E13,K12+E13)</f>
        <v>108550.8</v>
      </c>
      <c r="L13" s="11" t="n">
        <f aca="false">IF(A13=61,F13,L12+F13)</f>
        <v>25690.32</v>
      </c>
    </row>
    <row r="14" customFormat="false" ht="15" hidden="false" customHeight="false" outlineLevel="0" collapsed="false">
      <c r="A14" s="9" t="n">
        <v>71</v>
      </c>
      <c r="B14" s="9" t="n">
        <f aca="false">A14-Assumptions!$B$6</f>
        <v>10</v>
      </c>
      <c r="C14" s="10" t="n">
        <f aca="false">1/(1+Assumptions!$B$3)^B14</f>
        <v>0.744093914896725</v>
      </c>
      <c r="D14" s="11" t="n">
        <f aca="false">IF(AND(A14&gt;=61,A14&lt;=Assumptions!$B$7),Assumptions!$B$9,0)</f>
        <v>13315.56</v>
      </c>
      <c r="E14" s="11" t="n">
        <f aca="false">IF(AND(A14&gt;=65,A14&lt;=Assumptions!$B$7),Assumptions!$B$10,0)</f>
        <v>18091.8</v>
      </c>
      <c r="F14" s="11" t="n">
        <f aca="false">IF(AND(A14&gt;=70,A14&lt;=Assumptions!$B$7),Assumptions!$B$11,0)</f>
        <v>25690.32</v>
      </c>
      <c r="G14" s="11" t="n">
        <f aca="false">D14*C14</f>
        <v>9908.02716944223</v>
      </c>
      <c r="H14" s="11" t="n">
        <f aca="false">E14*C14</f>
        <v>13461.9982895286</v>
      </c>
      <c r="I14" s="11" t="n">
        <f aca="false">F14*C14</f>
        <v>19116.0107837496</v>
      </c>
      <c r="J14" s="11" t="n">
        <f aca="false">IF(A14=61,D14,J13+D14)</f>
        <v>146471.16</v>
      </c>
      <c r="K14" s="11" t="n">
        <f aca="false">IF(A14=61,E14,K13+E14)</f>
        <v>126642.6</v>
      </c>
      <c r="L14" s="11" t="n">
        <f aca="false">IF(A14=61,F14,L13+F14)</f>
        <v>51380.64</v>
      </c>
    </row>
    <row r="15" customFormat="false" ht="15" hidden="false" customHeight="false" outlineLevel="0" collapsed="false">
      <c r="A15" s="9" t="n">
        <v>72</v>
      </c>
      <c r="B15" s="9" t="n">
        <f aca="false">A15-Assumptions!$B$6</f>
        <v>11</v>
      </c>
      <c r="C15" s="10" t="n">
        <f aca="false">1/(1+Assumptions!$B$3)^B15</f>
        <v>0.722421276598762</v>
      </c>
      <c r="D15" s="11" t="n">
        <f aca="false">IF(AND(A15&gt;=61,A15&lt;=Assumptions!$B$7),Assumptions!$B$9,0)</f>
        <v>13315.56</v>
      </c>
      <c r="E15" s="11" t="n">
        <f aca="false">IF(AND(A15&gt;=65,A15&lt;=Assumptions!$B$7),Assumptions!$B$10,0)</f>
        <v>18091.8</v>
      </c>
      <c r="F15" s="11" t="n">
        <f aca="false">IF(AND(A15&gt;=70,A15&lt;=Assumptions!$B$7),Assumptions!$B$11,0)</f>
        <v>25690.32</v>
      </c>
      <c r="G15" s="11" t="n">
        <f aca="false">D15*C15</f>
        <v>9619.44385382741</v>
      </c>
      <c r="H15" s="11" t="n">
        <f aca="false">E15*C15</f>
        <v>13069.9012519695</v>
      </c>
      <c r="I15" s="11" t="n">
        <f aca="false">F15*C15</f>
        <v>18559.2337706307</v>
      </c>
      <c r="J15" s="11" t="n">
        <f aca="false">IF(A15=61,D15,J14+D15)</f>
        <v>159786.72</v>
      </c>
      <c r="K15" s="11" t="n">
        <f aca="false">IF(A15=61,E15,K14+E15)</f>
        <v>144734.4</v>
      </c>
      <c r="L15" s="11" t="n">
        <f aca="false">IF(A15=61,F15,L14+F15)</f>
        <v>77070.96</v>
      </c>
    </row>
    <row r="16" customFormat="false" ht="15" hidden="false" customHeight="false" outlineLevel="0" collapsed="false">
      <c r="A16" s="9" t="n">
        <v>73</v>
      </c>
      <c r="B16" s="9" t="n">
        <f aca="false">A16-Assumptions!$B$6</f>
        <v>12</v>
      </c>
      <c r="C16" s="10" t="n">
        <f aca="false">1/(1+Assumptions!$B$3)^B16</f>
        <v>0.701379880192973</v>
      </c>
      <c r="D16" s="11" t="n">
        <f aca="false">IF(AND(A16&gt;=61,A16&lt;=Assumptions!$B$7),Assumptions!$B$9,0)</f>
        <v>13315.56</v>
      </c>
      <c r="E16" s="11" t="n">
        <f aca="false">IF(AND(A16&gt;=65,A16&lt;=Assumptions!$B$7),Assumptions!$B$10,0)</f>
        <v>18091.8</v>
      </c>
      <c r="F16" s="11" t="n">
        <f aca="false">IF(AND(A16&gt;=70,A16&lt;=Assumptions!$B$7),Assumptions!$B$11,0)</f>
        <v>25690.32</v>
      </c>
      <c r="G16" s="11" t="n">
        <f aca="false">D16*C16</f>
        <v>9339.26587750234</v>
      </c>
      <c r="H16" s="11" t="n">
        <f aca="false">E16*C16</f>
        <v>12689.2245164752</v>
      </c>
      <c r="I16" s="11" t="n">
        <f aca="false">F16*C16</f>
        <v>18018.6735637191</v>
      </c>
      <c r="J16" s="11" t="n">
        <f aca="false">IF(A16=61,D16,J15+D16)</f>
        <v>173102.28</v>
      </c>
      <c r="K16" s="11" t="n">
        <f aca="false">IF(A16=61,E16,K15+E16)</f>
        <v>162826.2</v>
      </c>
      <c r="L16" s="11" t="n">
        <f aca="false">IF(A16=61,F16,L15+F16)</f>
        <v>102761.28</v>
      </c>
    </row>
    <row r="17" customFormat="false" ht="15" hidden="false" customHeight="false" outlineLevel="0" collapsed="false">
      <c r="A17" s="9" t="n">
        <v>74</v>
      </c>
      <c r="B17" s="9" t="n">
        <f aca="false">A17-Assumptions!$B$6</f>
        <v>13</v>
      </c>
      <c r="C17" s="10" t="n">
        <f aca="false">1/(1+Assumptions!$B$3)^B17</f>
        <v>0.680951339993178</v>
      </c>
      <c r="D17" s="11" t="n">
        <f aca="false">IF(AND(A17&gt;=61,A17&lt;=Assumptions!$B$7),Assumptions!$B$9,0)</f>
        <v>13315.56</v>
      </c>
      <c r="E17" s="11" t="n">
        <f aca="false">IF(AND(A17&gt;=65,A17&lt;=Assumptions!$B$7),Assumptions!$B$10,0)</f>
        <v>18091.8</v>
      </c>
      <c r="F17" s="11" t="n">
        <f aca="false">IF(AND(A17&gt;=70,A17&lt;=Assumptions!$B$7),Assumptions!$B$11,0)</f>
        <v>25690.32</v>
      </c>
      <c r="G17" s="11" t="n">
        <f aca="false">D17*C17</f>
        <v>9067.24842475955</v>
      </c>
      <c r="H17" s="11" t="n">
        <f aca="false">E17*C17</f>
        <v>12319.6354528886</v>
      </c>
      <c r="I17" s="11" t="n">
        <f aca="false">F17*C17</f>
        <v>17493.8578288535</v>
      </c>
      <c r="J17" s="11" t="n">
        <f aca="false">IF(A17=61,D17,J16+D17)</f>
        <v>186417.84</v>
      </c>
      <c r="K17" s="11" t="n">
        <f aca="false">IF(A17=61,E17,K16+E17)</f>
        <v>180918</v>
      </c>
      <c r="L17" s="11" t="n">
        <f aca="false">IF(A17=61,F17,L16+F17)</f>
        <v>128451.6</v>
      </c>
    </row>
    <row r="18" customFormat="false" ht="15" hidden="false" customHeight="false" outlineLevel="0" collapsed="false">
      <c r="A18" s="9" t="n">
        <v>75</v>
      </c>
      <c r="B18" s="9" t="n">
        <f aca="false">A18-Assumptions!$B$6</f>
        <v>14</v>
      </c>
      <c r="C18" s="10" t="n">
        <f aca="false">1/(1+Assumptions!$B$3)^B18</f>
        <v>0.661117805818619</v>
      </c>
      <c r="D18" s="11" t="n">
        <f aca="false">IF(AND(A18&gt;=61,A18&lt;=Assumptions!$B$7),Assumptions!$B$9,0)</f>
        <v>13315.56</v>
      </c>
      <c r="E18" s="11" t="n">
        <f aca="false">IF(AND(A18&gt;=65,A18&lt;=Assumptions!$B$7),Assumptions!$B$10,0)</f>
        <v>18091.8</v>
      </c>
      <c r="F18" s="11" t="n">
        <f aca="false">IF(AND(A18&gt;=70,A18&lt;=Assumptions!$B$7),Assumptions!$B$11,0)</f>
        <v>25690.32</v>
      </c>
      <c r="G18" s="11" t="n">
        <f aca="false">D18*C18</f>
        <v>8803.15381044617</v>
      </c>
      <c r="H18" s="11" t="n">
        <f aca="false">E18*C18</f>
        <v>11960.8111193093</v>
      </c>
      <c r="I18" s="11" t="n">
        <f aca="false">F18*C18</f>
        <v>16984.3279891782</v>
      </c>
      <c r="J18" s="11" t="n">
        <f aca="false">IF(A18=61,D18,J17+D18)</f>
        <v>199733.4</v>
      </c>
      <c r="K18" s="11" t="n">
        <f aca="false">IF(A18=61,E18,K17+E18)</f>
        <v>199009.8</v>
      </c>
      <c r="L18" s="11" t="n">
        <f aca="false">IF(A18=61,F18,L17+F18)</f>
        <v>154141.92</v>
      </c>
    </row>
    <row r="19" customFormat="false" ht="15" hidden="false" customHeight="false" outlineLevel="0" collapsed="false">
      <c r="A19" s="9" t="n">
        <v>76</v>
      </c>
      <c r="B19" s="9" t="n">
        <f aca="false">A19-Assumptions!$B$6</f>
        <v>15</v>
      </c>
      <c r="C19" s="10" t="n">
        <f aca="false">1/(1+Assumptions!$B$3)^B19</f>
        <v>0.641861947396717</v>
      </c>
      <c r="D19" s="11" t="n">
        <f aca="false">IF(AND(A19&gt;=61,A19&lt;=Assumptions!$B$7),Assumptions!$B$9,0)</f>
        <v>13315.56</v>
      </c>
      <c r="E19" s="11" t="n">
        <f aca="false">IF(AND(A19&gt;=65,A19&lt;=Assumptions!$B$7),Assumptions!$B$10,0)</f>
        <v>18091.8</v>
      </c>
      <c r="F19" s="11" t="n">
        <f aca="false">IF(AND(A19&gt;=70,A19&lt;=Assumptions!$B$7),Assumptions!$B$11,0)</f>
        <v>25690.32</v>
      </c>
      <c r="G19" s="11" t="n">
        <f aca="false">D19*C19</f>
        <v>8546.75127227783</v>
      </c>
      <c r="H19" s="11" t="n">
        <f aca="false">E19*C19</f>
        <v>11612.4379799119</v>
      </c>
      <c r="I19" s="11" t="n">
        <f aca="false">F19*C19</f>
        <v>16489.6388244448</v>
      </c>
      <c r="J19" s="11" t="n">
        <f aca="false">IF(A19=61,D19,J18+D19)</f>
        <v>213048.96</v>
      </c>
      <c r="K19" s="11" t="n">
        <f aca="false">IF(A19=61,E19,K18+E19)</f>
        <v>217101.6</v>
      </c>
      <c r="L19" s="11" t="n">
        <f aca="false">IF(A19=61,F19,L18+F19)</f>
        <v>179832.24</v>
      </c>
    </row>
    <row r="20" customFormat="false" ht="15" hidden="false" customHeight="false" outlineLevel="0" collapsed="false">
      <c r="A20" s="9" t="n">
        <v>77</v>
      </c>
      <c r="B20" s="9" t="n">
        <f aca="false">A20-Assumptions!$B$6</f>
        <v>16</v>
      </c>
      <c r="C20" s="10" t="n">
        <f aca="false">1/(1+Assumptions!$B$3)^B20</f>
        <v>0.623166939220114</v>
      </c>
      <c r="D20" s="11" t="n">
        <f aca="false">IF(AND(A20&gt;=61,A20&lt;=Assumptions!$B$7),Assumptions!$B$9,0)</f>
        <v>13315.56</v>
      </c>
      <c r="E20" s="11" t="n">
        <f aca="false">IF(AND(A20&gt;=65,A20&lt;=Assumptions!$B$7),Assumptions!$B$10,0)</f>
        <v>18091.8</v>
      </c>
      <c r="F20" s="11" t="n">
        <f aca="false">IF(AND(A20&gt;=70,A20&lt;=Assumptions!$B$7),Assumptions!$B$11,0)</f>
        <v>25690.32</v>
      </c>
      <c r="G20" s="11" t="n">
        <f aca="false">D20*C20</f>
        <v>8297.81676920178</v>
      </c>
      <c r="H20" s="11" t="n">
        <f aca="false">E20*C20</f>
        <v>11274.2116309825</v>
      </c>
      <c r="I20" s="11" t="n">
        <f aca="false">F20*C20</f>
        <v>16009.3580819853</v>
      </c>
      <c r="J20" s="11" t="n">
        <f aca="false">IF(A20=61,D20,J19+D20)</f>
        <v>226364.52</v>
      </c>
      <c r="K20" s="11" t="n">
        <f aca="false">IF(A20=61,E20,K19+E20)</f>
        <v>235193.4</v>
      </c>
      <c r="L20" s="11" t="n">
        <f aca="false">IF(A20=61,F20,L19+F20)</f>
        <v>205522.56</v>
      </c>
    </row>
    <row r="21" customFormat="false" ht="15" hidden="false" customHeight="false" outlineLevel="0" collapsed="false">
      <c r="A21" s="9" t="n">
        <v>78</v>
      </c>
      <c r="B21" s="9" t="n">
        <f aca="false">A21-Assumptions!$B$6</f>
        <v>17</v>
      </c>
      <c r="C21" s="10" t="n">
        <f aca="false">1/(1+Assumptions!$B$3)^B21</f>
        <v>0.605016445844771</v>
      </c>
      <c r="D21" s="11" t="n">
        <f aca="false">IF(AND(A21&gt;=61,A21&lt;=Assumptions!$B$7),Assumptions!$B$9,0)</f>
        <v>13315.56</v>
      </c>
      <c r="E21" s="11" t="n">
        <f aca="false">IF(AND(A21&gt;=65,A21&lt;=Assumptions!$B$7),Assumptions!$B$10,0)</f>
        <v>18091.8</v>
      </c>
      <c r="F21" s="11" t="n">
        <f aca="false">IF(AND(A21&gt;=70,A21&lt;=Assumptions!$B$7),Assumptions!$B$11,0)</f>
        <v>25690.32</v>
      </c>
      <c r="G21" s="11" t="n">
        <f aca="false">D21*C21</f>
        <v>8056.1327856328</v>
      </c>
      <c r="H21" s="11" t="n">
        <f aca="false">E21*C21</f>
        <v>10945.8365349344</v>
      </c>
      <c r="I21" s="11" t="n">
        <f aca="false">F21*C21</f>
        <v>15543.0660990148</v>
      </c>
      <c r="J21" s="11" t="n">
        <f aca="false">IF(A21=61,D21,J20+D21)</f>
        <v>239680.08</v>
      </c>
      <c r="K21" s="11" t="n">
        <f aca="false">IF(A21=61,E21,K20+E21)</f>
        <v>253285.2</v>
      </c>
      <c r="L21" s="11" t="n">
        <f aca="false">IF(A21=61,F21,L20+F21)</f>
        <v>231212.88</v>
      </c>
    </row>
    <row r="22" customFormat="false" ht="15" hidden="false" customHeight="false" outlineLevel="0" collapsed="false">
      <c r="A22" s="9" t="n">
        <v>79</v>
      </c>
      <c r="B22" s="9" t="n">
        <f aca="false">A22-Assumptions!$B$6</f>
        <v>18</v>
      </c>
      <c r="C22" s="10" t="n">
        <f aca="false">1/(1+Assumptions!$B$3)^B22</f>
        <v>0.587394607616282</v>
      </c>
      <c r="D22" s="11" t="n">
        <f aca="false">IF(AND(A22&gt;=61,A22&lt;=Assumptions!$B$7),Assumptions!$B$9,0)</f>
        <v>13315.56</v>
      </c>
      <c r="E22" s="11" t="n">
        <f aca="false">IF(AND(A22&gt;=65,A22&lt;=Assumptions!$B$7),Assumptions!$B$10,0)</f>
        <v>18091.8</v>
      </c>
      <c r="F22" s="11" t="n">
        <f aca="false">IF(AND(A22&gt;=70,A22&lt;=Assumptions!$B$7),Assumptions!$B$11,0)</f>
        <v>25690.32</v>
      </c>
      <c r="G22" s="11" t="n">
        <f aca="false">D22*C22</f>
        <v>7821.48814139106</v>
      </c>
      <c r="H22" s="11" t="n">
        <f aca="false">E22*C22</f>
        <v>10627.0257620723</v>
      </c>
      <c r="I22" s="11" t="n">
        <f aca="false">F22*C22</f>
        <v>15090.3554359367</v>
      </c>
      <c r="J22" s="11" t="n">
        <f aca="false">IF(A22=61,D22,J21+D22)</f>
        <v>252995.64</v>
      </c>
      <c r="K22" s="11" t="n">
        <f aca="false">IF(A22=61,E22,K21+E22)</f>
        <v>271377</v>
      </c>
      <c r="L22" s="11" t="n">
        <f aca="false">IF(A22=61,F22,L21+F22)</f>
        <v>256903.2</v>
      </c>
    </row>
    <row r="23" customFormat="false" ht="15" hidden="false" customHeight="false" outlineLevel="0" collapsed="false">
      <c r="A23" s="9" t="n">
        <v>80</v>
      </c>
      <c r="B23" s="9" t="n">
        <f aca="false">A23-Assumptions!$B$6</f>
        <v>19</v>
      </c>
      <c r="C23" s="10" t="n">
        <f aca="false">1/(1+Assumptions!$B$3)^B23</f>
        <v>0.570286026811925</v>
      </c>
      <c r="D23" s="11" t="n">
        <f aca="false">IF(AND(A23&gt;=61,A23&lt;=Assumptions!$B$7),Assumptions!$B$9,0)</f>
        <v>13315.56</v>
      </c>
      <c r="E23" s="11" t="n">
        <f aca="false">IF(AND(A23&gt;=65,A23&lt;=Assumptions!$B$7),Assumptions!$B$10,0)</f>
        <v>18091.8</v>
      </c>
      <c r="F23" s="11" t="n">
        <f aca="false">IF(AND(A23&gt;=70,A23&lt;=Assumptions!$B$7),Assumptions!$B$11,0)</f>
        <v>25690.32</v>
      </c>
      <c r="G23" s="11" t="n">
        <f aca="false">D23*C23</f>
        <v>7593.67780717579</v>
      </c>
      <c r="H23" s="11" t="n">
        <f aca="false">E23*C23</f>
        <v>10317.500739876</v>
      </c>
      <c r="I23" s="11" t="n">
        <f aca="false">F23*C23</f>
        <v>14650.8305203269</v>
      </c>
      <c r="J23" s="11" t="n">
        <f aca="false">IF(A23=61,D23,J22+D23)</f>
        <v>266311.2</v>
      </c>
      <c r="K23" s="11" t="n">
        <f aca="false">IF(A23=61,E23,K22+E23)</f>
        <v>289468.8</v>
      </c>
      <c r="L23" s="11" t="n">
        <f aca="false">IF(A23=61,F23,L22+F23)</f>
        <v>282593.52</v>
      </c>
    </row>
    <row r="24" customFormat="false" ht="15" hidden="false" customHeight="false" outlineLevel="0" collapsed="false">
      <c r="A24" s="9" t="n">
        <v>81</v>
      </c>
      <c r="B24" s="9" t="n">
        <f aca="false">A24-Assumptions!$B$6</f>
        <v>20</v>
      </c>
      <c r="C24" s="10" t="n">
        <f aca="false">1/(1+Assumptions!$B$3)^B24</f>
        <v>0.553675754186335</v>
      </c>
      <c r="D24" s="11" t="n">
        <f aca="false">IF(AND(A24&gt;=61,A24&lt;=Assumptions!$B$7),Assumptions!$B$9,0)</f>
        <v>13315.56</v>
      </c>
      <c r="E24" s="11" t="n">
        <f aca="false">IF(AND(A24&gt;=65,A24&lt;=Assumptions!$B$7),Assumptions!$B$10,0)</f>
        <v>18091.8</v>
      </c>
      <c r="F24" s="11" t="n">
        <f aca="false">IF(AND(A24&gt;=70,A24&lt;=Assumptions!$B$7),Assumptions!$B$11,0)</f>
        <v>25690.32</v>
      </c>
      <c r="G24" s="11" t="n">
        <f aca="false">D24*C24</f>
        <v>7372.50272541339</v>
      </c>
      <c r="H24" s="11" t="n">
        <f aca="false">E24*C24</f>
        <v>10016.9910095883</v>
      </c>
      <c r="I24" s="11" t="n">
        <f aca="false">F24*C24</f>
        <v>14224.1073012883</v>
      </c>
      <c r="J24" s="11" t="n">
        <f aca="false">IF(A24=61,D24,J23+D24)</f>
        <v>279626.76</v>
      </c>
      <c r="K24" s="11" t="n">
        <f aca="false">IF(A24=61,E24,K23+E24)</f>
        <v>307560.6</v>
      </c>
      <c r="L24" s="11" t="n">
        <f aca="false">IF(A24=61,F24,L23+F24)</f>
        <v>308283.84</v>
      </c>
    </row>
    <row r="25" customFormat="false" ht="15" hidden="false" customHeight="false" outlineLevel="0" collapsed="false">
      <c r="A25" s="9" t="n">
        <v>82</v>
      </c>
      <c r="B25" s="9" t="n">
        <f aca="false">A25-Assumptions!$B$6</f>
        <v>21</v>
      </c>
      <c r="C25" s="10" t="n">
        <f aca="false">1/(1+Assumptions!$B$3)^B25</f>
        <v>0.537549275909063</v>
      </c>
      <c r="D25" s="11" t="n">
        <f aca="false">IF(AND(A25&gt;=61,A25&lt;=Assumptions!$B$7),Assumptions!$B$9,0)</f>
        <v>13315.56</v>
      </c>
      <c r="E25" s="11" t="n">
        <f aca="false">IF(AND(A25&gt;=65,A25&lt;=Assumptions!$B$7),Assumptions!$B$10,0)</f>
        <v>18091.8</v>
      </c>
      <c r="F25" s="11" t="n">
        <f aca="false">IF(AND(A25&gt;=70,A25&lt;=Assumptions!$B$7),Assumptions!$B$11,0)</f>
        <v>25690.32</v>
      </c>
      <c r="G25" s="11" t="n">
        <f aca="false">D25*C25</f>
        <v>7157.76963632368</v>
      </c>
      <c r="H25" s="11" t="n">
        <f aca="false">E25*C25</f>
        <v>9725.23398989158</v>
      </c>
      <c r="I25" s="11" t="n">
        <f aca="false">F25*C25</f>
        <v>13809.8129138721</v>
      </c>
      <c r="J25" s="11" t="n">
        <f aca="false">IF(A25=61,D25,J24+D25)</f>
        <v>292942.32</v>
      </c>
      <c r="K25" s="11" t="n">
        <f aca="false">IF(A25=61,E25,K24+E25)</f>
        <v>325652.4</v>
      </c>
      <c r="L25" s="11" t="n">
        <f aca="false">IF(A25=61,F25,L24+F25)</f>
        <v>333974.16</v>
      </c>
    </row>
    <row r="26" customFormat="false" ht="15" hidden="false" customHeight="false" outlineLevel="0" collapsed="false">
      <c r="A26" s="9" t="n">
        <v>83</v>
      </c>
      <c r="B26" s="9" t="n">
        <f aca="false">A26-Assumptions!$B$6</f>
        <v>22</v>
      </c>
      <c r="C26" s="10" t="n">
        <f aca="false">1/(1+Assumptions!$B$3)^B26</f>
        <v>0.521892500882585</v>
      </c>
      <c r="D26" s="11" t="n">
        <f aca="false">IF(AND(A26&gt;=61,A26&lt;=Assumptions!$B$7),Assumptions!$B$9,0)</f>
        <v>13315.56</v>
      </c>
      <c r="E26" s="11" t="n">
        <f aca="false">IF(AND(A26&gt;=65,A26&lt;=Assumptions!$B$7),Assumptions!$B$10,0)</f>
        <v>18091.8</v>
      </c>
      <c r="F26" s="11" t="n">
        <f aca="false">IF(AND(A26&gt;=70,A26&lt;=Assumptions!$B$7),Assumptions!$B$11,0)</f>
        <v>25690.32</v>
      </c>
      <c r="G26" s="11" t="n">
        <f aca="false">D26*C26</f>
        <v>6949.29090905211</v>
      </c>
      <c r="H26" s="11" t="n">
        <f aca="false">E26*C26</f>
        <v>9441.97474746755</v>
      </c>
      <c r="I26" s="11" t="n">
        <f aca="false">F26*C26</f>
        <v>13407.5853532739</v>
      </c>
      <c r="J26" s="11" t="n">
        <f aca="false">IF(A26=61,D26,J25+D26)</f>
        <v>306257.88</v>
      </c>
      <c r="K26" s="11" t="n">
        <f aca="false">IF(A26=61,E26,K25+E26)</f>
        <v>343744.2</v>
      </c>
      <c r="L26" s="11" t="n">
        <f aca="false">IF(A26=61,F26,L25+F26)</f>
        <v>359664.48</v>
      </c>
    </row>
    <row r="27" customFormat="false" ht="15" hidden="false" customHeight="false" outlineLevel="0" collapsed="false">
      <c r="A27" s="9" t="n">
        <v>84</v>
      </c>
      <c r="B27" s="9" t="n">
        <f aca="false">A27-Assumptions!$B$6</f>
        <v>23</v>
      </c>
      <c r="C27" s="10" t="n">
        <f aca="false">1/(1+Assumptions!$B$3)^B27</f>
        <v>0.506691748429694</v>
      </c>
      <c r="D27" s="11" t="n">
        <f aca="false">IF(AND(A27&gt;=61,A27&lt;=Assumptions!$B$7),Assumptions!$B$9,0)</f>
        <v>13315.56</v>
      </c>
      <c r="E27" s="11" t="n">
        <f aca="false">IF(AND(A27&gt;=65,A27&lt;=Assumptions!$B$7),Assumptions!$B$10,0)</f>
        <v>18091.8</v>
      </c>
      <c r="F27" s="11" t="n">
        <f aca="false">IF(AND(A27&gt;=70,A27&lt;=Assumptions!$B$7),Assumptions!$B$11,0)</f>
        <v>25690.32</v>
      </c>
      <c r="G27" s="11" t="n">
        <f aca="false">D27*C27</f>
        <v>6746.8843777205</v>
      </c>
      <c r="H27" s="11" t="n">
        <f aca="false">E27*C27</f>
        <v>9166.96577424034</v>
      </c>
      <c r="I27" s="11" t="n">
        <f aca="false">F27*C27</f>
        <v>13017.0731585183</v>
      </c>
      <c r="J27" s="11" t="n">
        <f aca="false">IF(A27=61,D27,J26+D27)</f>
        <v>319573.44</v>
      </c>
      <c r="K27" s="11" t="n">
        <f aca="false">IF(A27=61,E27,K26+E27)</f>
        <v>361836</v>
      </c>
      <c r="L27" s="11" t="n">
        <f aca="false">IF(A27=61,F27,L26+F27)</f>
        <v>385354.8</v>
      </c>
    </row>
    <row r="28" customFormat="false" ht="15" hidden="false" customHeight="false" outlineLevel="0" collapsed="false">
      <c r="A28" s="9" t="n">
        <v>85</v>
      </c>
      <c r="B28" s="9" t="n">
        <f aca="false">A28-Assumptions!$B$6</f>
        <v>24</v>
      </c>
      <c r="C28" s="10" t="n">
        <f aca="false">1/(1+Assumptions!$B$3)^B28</f>
        <v>0.491933736339509</v>
      </c>
      <c r="D28" s="11" t="n">
        <f aca="false">IF(AND(A28&gt;=61,A28&lt;=Assumptions!$B$7),Assumptions!$B$9,0)</f>
        <v>13315.56</v>
      </c>
      <c r="E28" s="11" t="n">
        <f aca="false">IF(AND(A28&gt;=65,A28&lt;=Assumptions!$B$7),Assumptions!$B$10,0)</f>
        <v>18091.8</v>
      </c>
      <c r="F28" s="11" t="n">
        <f aca="false">IF(AND(A28&gt;=70,A28&lt;=Assumptions!$B$7),Assumptions!$B$11,0)</f>
        <v>25690.32</v>
      </c>
      <c r="G28" s="11" t="n">
        <f aca="false">D28*C28</f>
        <v>6550.37318225291</v>
      </c>
      <c r="H28" s="11" t="n">
        <f aca="false">E28*C28</f>
        <v>8899.96677110713</v>
      </c>
      <c r="I28" s="11" t="n">
        <f aca="false">F28*C28</f>
        <v>12637.9351053576</v>
      </c>
      <c r="J28" s="11" t="n">
        <f aca="false">IF(A28=61,D28,J27+D28)</f>
        <v>332889</v>
      </c>
      <c r="K28" s="11" t="n">
        <f aca="false">IF(A28=61,E28,K27+E28)</f>
        <v>379927.8</v>
      </c>
      <c r="L28" s="11" t="n">
        <f aca="false">IF(A28=61,F28,L27+F28)</f>
        <v>411045.12</v>
      </c>
    </row>
    <row r="29" customFormat="false" ht="15" hidden="false" customHeight="false" outlineLevel="0" collapsed="false">
      <c r="A29" s="9" t="n">
        <v>86</v>
      </c>
      <c r="B29" s="9" t="n">
        <f aca="false">A29-Assumptions!$B$6</f>
        <v>25</v>
      </c>
      <c r="C29" s="10" t="n">
        <f aca="false">1/(1+Assumptions!$B$3)^B29</f>
        <v>0.477605569261659</v>
      </c>
      <c r="D29" s="11" t="n">
        <f aca="false">IF(AND(A29&gt;=61,A29&lt;=Assumptions!$B$7),Assumptions!$B$9,0)</f>
        <v>13315.56</v>
      </c>
      <c r="E29" s="11" t="n">
        <f aca="false">IF(AND(A29&gt;=65,A29&lt;=Assumptions!$B$7),Assumptions!$B$10,0)</f>
        <v>18091.8</v>
      </c>
      <c r="F29" s="11" t="n">
        <f aca="false">IF(AND(A29&gt;=70,A29&lt;=Assumptions!$B$7),Assumptions!$B$11,0)</f>
        <v>25690.32</v>
      </c>
      <c r="G29" s="11" t="n">
        <f aca="false">D29*C29</f>
        <v>6359.58561383778</v>
      </c>
      <c r="H29" s="11" t="n">
        <f aca="false">E29*C29</f>
        <v>8640.74443796808</v>
      </c>
      <c r="I29" s="11" t="n">
        <f aca="false">F29*C29</f>
        <v>12269.8399081142</v>
      </c>
      <c r="J29" s="11" t="n">
        <f aca="false">IF(A29=61,D29,J28+D29)</f>
        <v>346204.56</v>
      </c>
      <c r="K29" s="11" t="n">
        <f aca="false">IF(A29=61,E29,K28+E29)</f>
        <v>398019.6</v>
      </c>
      <c r="L29" s="11" t="n">
        <f aca="false">IF(A29=61,F29,L28+F29)</f>
        <v>436735.44</v>
      </c>
    </row>
    <row r="30" customFormat="false" ht="15" hidden="false" customHeight="false" outlineLevel="0" collapsed="false">
      <c r="A30" s="9" t="n">
        <v>87</v>
      </c>
      <c r="B30" s="9" t="n">
        <f aca="false">A30-Assumptions!$B$6</f>
        <v>26</v>
      </c>
      <c r="C30" s="10" t="n">
        <f aca="false">1/(1+Assumptions!$B$3)^B30</f>
        <v>0.463694727438504</v>
      </c>
      <c r="D30" s="11" t="n">
        <f aca="false">IF(AND(A30&gt;=61,A30&lt;=Assumptions!$B$7),Assumptions!$B$9,0)</f>
        <v>13315.56</v>
      </c>
      <c r="E30" s="11" t="n">
        <f aca="false">IF(AND(A30&gt;=65,A30&lt;=Assumptions!$B$7),Assumptions!$B$10,0)</f>
        <v>18091.8</v>
      </c>
      <c r="F30" s="11" t="n">
        <f aca="false">IF(AND(A30&gt;=70,A30&lt;=Assumptions!$B$7),Assumptions!$B$11,0)</f>
        <v>25690.32</v>
      </c>
      <c r="G30" s="11" t="n">
        <f aca="false">D30*C30</f>
        <v>6174.35496489105</v>
      </c>
      <c r="H30" s="11" t="n">
        <f aca="false">E30*C30</f>
        <v>8389.07226987193</v>
      </c>
      <c r="I30" s="11" t="n">
        <f aca="false">F30*C30</f>
        <v>11912.4659302079</v>
      </c>
      <c r="J30" s="11" t="n">
        <f aca="false">IF(A30=61,D30,J29+D30)</f>
        <v>359520.12</v>
      </c>
      <c r="K30" s="11" t="n">
        <f aca="false">IF(A30=61,E30,K29+E30)</f>
        <v>416111.4</v>
      </c>
      <c r="L30" s="11" t="n">
        <f aca="false">IF(A30=61,F30,L29+F30)</f>
        <v>462425.76</v>
      </c>
    </row>
    <row r="31" customFormat="false" ht="15" hidden="false" customHeight="false" outlineLevel="0" collapsed="false">
      <c r="A31" s="9" t="n">
        <v>88</v>
      </c>
      <c r="B31" s="9" t="n">
        <f aca="false">A31-Assumptions!$B$6</f>
        <v>27</v>
      </c>
      <c r="C31" s="10" t="n">
        <f aca="false">1/(1+Assumptions!$B$3)^B31</f>
        <v>0.450189055765538</v>
      </c>
      <c r="D31" s="11" t="n">
        <f aca="false">IF(AND(A31&gt;=61,A31&lt;=Assumptions!$B$7),Assumptions!$B$9,0)</f>
        <v>13315.56</v>
      </c>
      <c r="E31" s="11" t="n">
        <f aca="false">IF(AND(A31&gt;=65,A31&lt;=Assumptions!$B$7),Assumptions!$B$10,0)</f>
        <v>18091.8</v>
      </c>
      <c r="F31" s="11" t="n">
        <f aca="false">IF(AND(A31&gt;=70,A31&lt;=Assumptions!$B$7),Assumptions!$B$11,0)</f>
        <v>25690.32</v>
      </c>
      <c r="G31" s="11" t="n">
        <f aca="false">D31*C31</f>
        <v>5994.51938338936</v>
      </c>
      <c r="H31" s="11" t="n">
        <f aca="false">E31*C31</f>
        <v>8144.73035909896</v>
      </c>
      <c r="I31" s="11" t="n">
        <f aca="false">F31*C31</f>
        <v>11565.5009031145</v>
      </c>
      <c r="J31" s="11" t="n">
        <f aca="false">IF(A31=61,D31,J30+D31)</f>
        <v>372835.68</v>
      </c>
      <c r="K31" s="11" t="n">
        <f aca="false">IF(A31=61,E31,K30+E31)</f>
        <v>434203.2</v>
      </c>
      <c r="L31" s="11" t="n">
        <f aca="false">IF(A31=61,F31,L30+F31)</f>
        <v>488116.08</v>
      </c>
    </row>
    <row r="32" customFormat="false" ht="15" hidden="false" customHeight="false" outlineLevel="0" collapsed="false">
      <c r="A32" s="9" t="n">
        <v>89</v>
      </c>
      <c r="B32" s="9" t="n">
        <f aca="false">A32-Assumptions!$B$6</f>
        <v>28</v>
      </c>
      <c r="C32" s="10" t="n">
        <f aca="false">1/(1+Assumptions!$B$3)^B32</f>
        <v>0.437076753170425</v>
      </c>
      <c r="D32" s="11" t="n">
        <f aca="false">IF(AND(A32&gt;=61,A32&lt;=Assumptions!$B$7),Assumptions!$B$9,0)</f>
        <v>13315.56</v>
      </c>
      <c r="E32" s="11" t="n">
        <f aca="false">IF(AND(A32&gt;=65,A32&lt;=Assumptions!$B$7),Assumptions!$B$10,0)</f>
        <v>18091.8</v>
      </c>
      <c r="F32" s="11" t="n">
        <f aca="false">IF(AND(A32&gt;=70,A32&lt;=Assumptions!$B$7),Assumptions!$B$11,0)</f>
        <v>25690.32</v>
      </c>
      <c r="G32" s="11" t="n">
        <f aca="false">D32*C32</f>
        <v>5819.92173144599</v>
      </c>
      <c r="H32" s="11" t="n">
        <f aca="false">E32*C32</f>
        <v>7907.5052030087</v>
      </c>
      <c r="I32" s="11" t="n">
        <f aca="false">F32*C32</f>
        <v>11228.6416535092</v>
      </c>
      <c r="J32" s="11" t="n">
        <f aca="false">IF(A32=61,D32,J31+D32)</f>
        <v>386151.24</v>
      </c>
      <c r="K32" s="11" t="n">
        <f aca="false">IF(A32=61,E32,K31+E32)</f>
        <v>452295</v>
      </c>
      <c r="L32" s="11" t="n">
        <f aca="false">IF(A32=61,F32,L31+F32)</f>
        <v>513806.4</v>
      </c>
    </row>
    <row r="33" customFormat="false" ht="15" hidden="false" customHeight="false" outlineLevel="0" collapsed="false">
      <c r="A33" s="9" t="n">
        <v>90</v>
      </c>
      <c r="B33" s="9" t="n">
        <f aca="false">A33-Assumptions!$B$6</f>
        <v>29</v>
      </c>
      <c r="C33" s="10" t="n">
        <f aca="false">1/(1+Assumptions!$B$3)^B33</f>
        <v>0.424346362301384</v>
      </c>
      <c r="D33" s="11" t="n">
        <f aca="false">IF(AND(A33&gt;=61,A33&lt;=Assumptions!$B$7),Assumptions!$B$9,0)</f>
        <v>13315.56</v>
      </c>
      <c r="E33" s="11" t="n">
        <f aca="false">IF(AND(A33&gt;=65,A33&lt;=Assumptions!$B$7),Assumptions!$B$10,0)</f>
        <v>18091.8</v>
      </c>
      <c r="F33" s="11" t="n">
        <f aca="false">IF(AND(A33&gt;=70,A33&lt;=Assumptions!$B$7),Assumptions!$B$11,0)</f>
        <v>25690.32</v>
      </c>
      <c r="G33" s="11" t="n">
        <f aca="false">D33*C33</f>
        <v>5650.40944800581</v>
      </c>
      <c r="H33" s="11" t="n">
        <f aca="false">E33*C33</f>
        <v>7677.18951748417</v>
      </c>
      <c r="I33" s="11" t="n">
        <f aca="false">F33*C33</f>
        <v>10901.5938383585</v>
      </c>
      <c r="J33" s="11" t="n">
        <f aca="false">IF(A33=61,D33,J32+D33)</f>
        <v>399466.8</v>
      </c>
      <c r="K33" s="11" t="n">
        <f aca="false">IF(A33=61,E33,K32+E33)</f>
        <v>470386.8</v>
      </c>
      <c r="L33" s="11" t="n">
        <f aca="false">IF(A33=61,F33,L32+F33)</f>
        <v>539496.72</v>
      </c>
    </row>
    <row r="34" customFormat="false" ht="15" hidden="false" customHeight="false" outlineLevel="0" collapsed="false">
      <c r="A34" s="9" t="n">
        <v>91</v>
      </c>
      <c r="B34" s="9" t="n">
        <f aca="false">A34-Assumptions!$B$6</f>
        <v>30</v>
      </c>
      <c r="C34" s="10" t="n">
        <f aca="false">1/(1+Assumptions!$B$3)^B34</f>
        <v>0.411986759515906</v>
      </c>
      <c r="D34" s="11" t="n">
        <f aca="false">IF(AND(A34&gt;=61,A34&lt;=Assumptions!$B$7),Assumptions!$B$9,0)</f>
        <v>0</v>
      </c>
      <c r="E34" s="11" t="n">
        <f aca="false">IF(AND(A34&gt;=65,A34&lt;=Assumptions!$B$7),Assumptions!$B$10,0)</f>
        <v>0</v>
      </c>
      <c r="F34" s="11" t="n">
        <f aca="false">IF(AND(A34&gt;=70,A34&lt;=Assumptions!$B$7),Assumptions!$B$11,0)</f>
        <v>0</v>
      </c>
      <c r="G34" s="11" t="n">
        <f aca="false">D34*C34</f>
        <v>0</v>
      </c>
      <c r="H34" s="11" t="n">
        <f aca="false">E34*C34</f>
        <v>0</v>
      </c>
      <c r="I34" s="11" t="n">
        <f aca="false">F34*C34</f>
        <v>0</v>
      </c>
      <c r="J34" s="11" t="n">
        <f aca="false">IF(A34=61,D34,J33+D34)</f>
        <v>399466.8</v>
      </c>
      <c r="K34" s="11" t="n">
        <f aca="false">IF(A34=61,E34,K33+E34)</f>
        <v>470386.8</v>
      </c>
      <c r="L34" s="11" t="n">
        <f aca="false">IF(A34=61,F34,L33+F34)</f>
        <v>539496.72</v>
      </c>
    </row>
    <row r="35" customFormat="false" ht="15" hidden="false" customHeight="false" outlineLevel="0" collapsed="false">
      <c r="A35" s="9" t="n">
        <v>92</v>
      </c>
      <c r="B35" s="9" t="n">
        <f aca="false">A35-Assumptions!$B$6</f>
        <v>31</v>
      </c>
      <c r="C35" s="10" t="n">
        <f aca="false">1/(1+Assumptions!$B$3)^B35</f>
        <v>0.399987145161074</v>
      </c>
      <c r="D35" s="11" t="n">
        <f aca="false">IF(AND(A35&gt;=61,A35&lt;=Assumptions!$B$7),Assumptions!$B$9,0)</f>
        <v>0</v>
      </c>
      <c r="E35" s="11" t="n">
        <f aca="false">IF(AND(A35&gt;=65,A35&lt;=Assumptions!$B$7),Assumptions!$B$10,0)</f>
        <v>0</v>
      </c>
      <c r="F35" s="11" t="n">
        <f aca="false">IF(AND(A35&gt;=70,A35&lt;=Assumptions!$B$7),Assumptions!$B$11,0)</f>
        <v>0</v>
      </c>
      <c r="G35" s="11" t="n">
        <f aca="false">D35*C35</f>
        <v>0</v>
      </c>
      <c r="H35" s="11" t="n">
        <f aca="false">E35*C35</f>
        <v>0</v>
      </c>
      <c r="I35" s="11" t="n">
        <f aca="false">F35*C35</f>
        <v>0</v>
      </c>
      <c r="J35" s="11" t="n">
        <f aca="false">IF(A35=61,D35,J34+D35)</f>
        <v>399466.8</v>
      </c>
      <c r="K35" s="11" t="n">
        <f aca="false">IF(A35=61,E35,K34+E35)</f>
        <v>470386.8</v>
      </c>
      <c r="L35" s="11" t="n">
        <f aca="false">IF(A35=61,F35,L34+F35)</f>
        <v>539496.72</v>
      </c>
    </row>
    <row r="36" customFormat="false" ht="15" hidden="false" customHeight="false" outlineLevel="0" collapsed="false">
      <c r="A36" s="9" t="n">
        <v>93</v>
      </c>
      <c r="B36" s="9" t="n">
        <f aca="false">A36-Assumptions!$B$6</f>
        <v>32</v>
      </c>
      <c r="C36" s="10" t="n">
        <f aca="false">1/(1+Assumptions!$B$3)^B36</f>
        <v>0.388337034136965</v>
      </c>
      <c r="D36" s="11" t="n">
        <f aca="false">IF(AND(A36&gt;=61,A36&lt;=Assumptions!$B$7),Assumptions!$B$9,0)</f>
        <v>0</v>
      </c>
      <c r="E36" s="11" t="n">
        <f aca="false">IF(AND(A36&gt;=65,A36&lt;=Assumptions!$B$7),Assumptions!$B$10,0)</f>
        <v>0</v>
      </c>
      <c r="F36" s="11" t="n">
        <f aca="false">IF(AND(A36&gt;=70,A36&lt;=Assumptions!$B$7),Assumptions!$B$11,0)</f>
        <v>0</v>
      </c>
      <c r="G36" s="11" t="n">
        <f aca="false">D36*C36</f>
        <v>0</v>
      </c>
      <c r="H36" s="11" t="n">
        <f aca="false">E36*C36</f>
        <v>0</v>
      </c>
      <c r="I36" s="11" t="n">
        <f aca="false">F36*C36</f>
        <v>0</v>
      </c>
      <c r="J36" s="11" t="n">
        <f aca="false">IF(A36=61,D36,J35+D36)</f>
        <v>399466.8</v>
      </c>
      <c r="K36" s="11" t="n">
        <f aca="false">IF(A36=61,E36,K35+E36)</f>
        <v>470386.8</v>
      </c>
      <c r="L36" s="11" t="n">
        <f aca="false">IF(A36=61,F36,L35+F36)</f>
        <v>539496.72</v>
      </c>
    </row>
    <row r="37" customFormat="false" ht="15" hidden="false" customHeight="false" outlineLevel="0" collapsed="false">
      <c r="A37" s="9" t="n">
        <v>94</v>
      </c>
      <c r="B37" s="9" t="n">
        <f aca="false">A37-Assumptions!$B$6</f>
        <v>33</v>
      </c>
      <c r="C37" s="10" t="n">
        <f aca="false">1/(1+Assumptions!$B$3)^B37</f>
        <v>0.377026246734918</v>
      </c>
      <c r="D37" s="11" t="n">
        <f aca="false">IF(AND(A37&gt;=61,A37&lt;=Assumptions!$B$7),Assumptions!$B$9,0)</f>
        <v>0</v>
      </c>
      <c r="E37" s="11" t="n">
        <f aca="false">IF(AND(A37&gt;=65,A37&lt;=Assumptions!$B$7),Assumptions!$B$10,0)</f>
        <v>0</v>
      </c>
      <c r="F37" s="11" t="n">
        <f aca="false">IF(AND(A37&gt;=70,A37&lt;=Assumptions!$B$7),Assumptions!$B$11,0)</f>
        <v>0</v>
      </c>
      <c r="G37" s="11" t="n">
        <f aca="false">D37*C37</f>
        <v>0</v>
      </c>
      <c r="H37" s="11" t="n">
        <f aca="false">E37*C37</f>
        <v>0</v>
      </c>
      <c r="I37" s="11" t="n">
        <f aca="false">F37*C37</f>
        <v>0</v>
      </c>
      <c r="J37" s="11" t="n">
        <f aca="false">IF(A37=61,D37,J36+D37)</f>
        <v>399466.8</v>
      </c>
      <c r="K37" s="11" t="n">
        <f aca="false">IF(A37=61,E37,K36+E37)</f>
        <v>470386.8</v>
      </c>
      <c r="L37" s="11" t="n">
        <f aca="false">IF(A37=61,F37,L36+F37)</f>
        <v>539496.72</v>
      </c>
    </row>
    <row r="38" customFormat="false" ht="15" hidden="false" customHeight="false" outlineLevel="0" collapsed="false">
      <c r="A38" s="9" t="n">
        <v>95</v>
      </c>
      <c r="B38" s="9" t="n">
        <f aca="false">A38-Assumptions!$B$6</f>
        <v>34</v>
      </c>
      <c r="C38" s="10" t="n">
        <f aca="false">1/(1+Assumptions!$B$3)^B38</f>
        <v>0.366044899742639</v>
      </c>
      <c r="D38" s="11" t="n">
        <f aca="false">IF(AND(A38&gt;=61,A38&lt;=Assumptions!$B$7),Assumptions!$B$9,0)</f>
        <v>0</v>
      </c>
      <c r="E38" s="11" t="n">
        <f aca="false">IF(AND(A38&gt;=65,A38&lt;=Assumptions!$B$7),Assumptions!$B$10,0)</f>
        <v>0</v>
      </c>
      <c r="F38" s="11" t="n">
        <f aca="false">IF(AND(A38&gt;=70,A38&lt;=Assumptions!$B$7),Assumptions!$B$11,0)</f>
        <v>0</v>
      </c>
      <c r="G38" s="11" t="n">
        <f aca="false">D38*C38</f>
        <v>0</v>
      </c>
      <c r="H38" s="11" t="n">
        <f aca="false">E38*C38</f>
        <v>0</v>
      </c>
      <c r="I38" s="11" t="n">
        <f aca="false">F38*C38</f>
        <v>0</v>
      </c>
      <c r="J38" s="11" t="n">
        <f aca="false">IF(A38=61,D38,J37+D38)</f>
        <v>399466.8</v>
      </c>
      <c r="K38" s="11" t="n">
        <f aca="false">IF(A38=61,E38,K37+E38)</f>
        <v>470386.8</v>
      </c>
      <c r="L38" s="11" t="n">
        <f aca="false">IF(A38=61,F38,L37+F38)</f>
        <v>539496.72</v>
      </c>
    </row>
    <row r="39" customFormat="false" ht="15" hidden="false" customHeight="false" outlineLevel="0" collapsed="false">
      <c r="A39" s="12" t="s">
        <v>43</v>
      </c>
      <c r="G39" s="13" t="n">
        <f aca="false">SUM(G4:G38)</f>
        <v>268820.578399806</v>
      </c>
      <c r="H39" s="13" t="n">
        <f aca="false">SUM(H4:H38)</f>
        <v>295979.011840044</v>
      </c>
      <c r="I39" s="13" t="n">
        <f aca="false">SUM(I4:I38)</f>
        <v>312619.400070717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14" t="s">
        <v>45</v>
      </c>
      <c r="B3" s="14" t="s">
        <v>46</v>
      </c>
      <c r="C3" s="14" t="s">
        <v>47</v>
      </c>
    </row>
    <row r="4" customFormat="false" ht="15" hidden="false" customHeight="false" outlineLevel="0" collapsed="false">
      <c r="A4" s="2" t="s">
        <v>48</v>
      </c>
      <c r="B4" s="15" t="n">
        <f aca="false">Assumptions!$B$12*MAX(0,Assumptions!$B$16-0.5)</f>
        <v>31827.7</v>
      </c>
      <c r="C4" s="15" t="n">
        <f aca="false">Assumptions!$B$12*MAX(0,Assumptions!$B$17-0.5)</f>
        <v>52361.7</v>
      </c>
    </row>
    <row r="5" customFormat="false" ht="15" hidden="false" customHeight="false" outlineLevel="0" collapsed="false">
      <c r="A5" s="2" t="s">
        <v>49</v>
      </c>
      <c r="B5" s="15" t="n">
        <f aca="false">Assumptions!$B$13*MAX(0,Assumptions!$B$16-1)</f>
        <v>4680</v>
      </c>
      <c r="C5" s="15" t="n">
        <f aca="false">Assumptions!$B$13*MAX(0,Assumptions!$B$17-1)</f>
        <v>8280</v>
      </c>
    </row>
    <row r="6" customFormat="false" ht="15" hidden="false" customHeight="false" outlineLevel="0" collapsed="false">
      <c r="A6" s="2" t="s">
        <v>50</v>
      </c>
      <c r="B6" s="15" t="n">
        <f aca="false">Assumptions!$B$14*MAX(0,Assumptions!$B$16-4.5)</f>
        <v>0</v>
      </c>
      <c r="C6" s="15" t="n">
        <f aca="false">Assumptions!$B$14*MAX(0,Assumptions!$B$17-4.5)</f>
        <v>10459.9</v>
      </c>
    </row>
    <row r="7" customFormat="false" ht="15" hidden="false" customHeight="false" outlineLevel="0" collapsed="false">
      <c r="A7" s="2" t="s">
        <v>51</v>
      </c>
      <c r="B7" s="15" t="n">
        <f aca="false">Assumptions!$B$15*Assumptions!$B$16</f>
        <v>7394.4</v>
      </c>
      <c r="C7" s="15" t="n">
        <f aca="false">Assumptions!$B$15*Assumptions!$B$17</f>
        <v>11502.4</v>
      </c>
    </row>
    <row r="8" customFormat="false" ht="15" hidden="false" customHeight="false" outlineLevel="0" collapsed="false">
      <c r="A8" s="12" t="s">
        <v>52</v>
      </c>
      <c r="B8" s="13" t="n">
        <f aca="false">SUM(B4:B7)</f>
        <v>43902.1</v>
      </c>
      <c r="C8" s="13" t="n">
        <f aca="false">SUM(C4:C7)</f>
        <v>82604</v>
      </c>
    </row>
    <row r="9" customFormat="false" ht="15" hidden="false" customHeight="false" outlineLevel="0" collapsed="false">
      <c r="A9" s="16" t="s">
        <v>53</v>
      </c>
      <c r="B9" s="17" t="n">
        <f aca="false">MAX(0,Assumptions!$B$8-B8)</f>
        <v>45168.9</v>
      </c>
      <c r="C9" s="17" t="n">
        <f aca="false">MAX(0,Assumptions!$B$8-C8)</f>
        <v>6467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55</v>
      </c>
      <c r="B3" s="18" t="n">
        <f aca="false">'CPP value'!$G$39</f>
        <v>268820.578399806</v>
      </c>
    </row>
    <row r="4" customFormat="false" ht="15" hidden="false" customHeight="false" outlineLevel="0" collapsed="false">
      <c r="A4" s="2" t="s">
        <v>56</v>
      </c>
      <c r="B4" s="18" t="n">
        <f aca="false">'CPP value'!$H$39</f>
        <v>295979.011840044</v>
      </c>
    </row>
    <row r="5" customFormat="false" ht="15" hidden="false" customHeight="false" outlineLevel="0" collapsed="false">
      <c r="A5" s="2" t="s">
        <v>57</v>
      </c>
      <c r="B5" s="18" t="n">
        <f aca="false">'CPP value'!$I$39</f>
        <v>312619.400070717</v>
      </c>
    </row>
    <row r="6" customFormat="false" ht="15" hidden="false" customHeight="false" outlineLevel="0" collapsed="false">
      <c r="A6" s="16" t="s">
        <v>58</v>
      </c>
      <c r="B6" s="19" t="n">
        <f aca="false">'CPP value'!$H$39-'CPP value'!$G$39</f>
        <v>27158.4334402377</v>
      </c>
      <c r="C6" s="4" t="s">
        <v>59</v>
      </c>
    </row>
    <row r="7" customFormat="false" ht="15" hidden="false" customHeight="false" outlineLevel="0" collapsed="false">
      <c r="A7" s="16" t="s">
        <v>60</v>
      </c>
      <c r="B7" s="19" t="n">
        <f aca="false">'CPP value'!$I$39-'CPP value'!$G$39</f>
        <v>43798.8216709105</v>
      </c>
    </row>
    <row r="9" customFormat="false" ht="15" hidden="false" customHeight="false" outlineLevel="0" collapsed="false">
      <c r="A9" s="16" t="s">
        <v>61</v>
      </c>
    </row>
    <row r="10" customFormat="false" ht="15" hidden="false" customHeight="false" outlineLevel="0" collapsed="false">
      <c r="A10" s="2" t="s">
        <v>62</v>
      </c>
      <c r="B10" s="18" t="n">
        <f aca="false">'RRSP room fill'!$B$9</f>
        <v>45168.9</v>
      </c>
    </row>
    <row r="11" customFormat="false" ht="15" hidden="false" customHeight="false" outlineLevel="0" collapsed="false">
      <c r="A11" s="2" t="s">
        <v>63</v>
      </c>
      <c r="B11" s="18" t="n">
        <f aca="false">'RRSP room fill'!$B$9*(Assumptions!$B$4-Assumptions!$B$5)</f>
        <v>4516.89</v>
      </c>
      <c r="C11" s="4" t="s">
        <v>64</v>
      </c>
    </row>
    <row r="12" customFormat="false" ht="15" hidden="false" customHeight="false" outlineLevel="0" collapsed="false">
      <c r="A12" s="2" t="s">
        <v>65</v>
      </c>
      <c r="B12" s="18" t="n">
        <f aca="false">-('CPP value'!$H$39-'CPP value'!$G$39)</f>
        <v>-27158.4334402377</v>
      </c>
    </row>
    <row r="13" customFormat="false" ht="15" hidden="false" customHeight="false" outlineLevel="0" collapsed="false">
      <c r="A13" s="16" t="s">
        <v>66</v>
      </c>
      <c r="B13" s="19" t="n">
        <f aca="false">B11+B12</f>
        <v>-22641.5434402377</v>
      </c>
      <c r="C13" s="4" t="s">
        <v>67</v>
      </c>
    </row>
    <row r="15" customFormat="false" ht="15" hidden="false" customHeight="false" outlineLevel="0" collapsed="false">
      <c r="A15" s="16" t="s">
        <v>68</v>
      </c>
    </row>
    <row r="16" customFormat="false" ht="15" hidden="false" customHeight="false" outlineLevel="0" collapsed="false">
      <c r="A16" s="2" t="s">
        <v>69</v>
      </c>
      <c r="B16" s="18" t="n">
        <f aca="false">'RRSP room fill'!$C$9</f>
        <v>6467</v>
      </c>
      <c r="C16" s="4" t="s">
        <v>70</v>
      </c>
    </row>
    <row r="18" customFormat="false" ht="15" hidden="false" customHeight="false" outlineLevel="0" collapsed="false">
      <c r="A18" s="20" t="s">
        <v>71</v>
      </c>
    </row>
    <row r="19" customFormat="false" ht="15" hidden="false" customHeight="false" outlineLevel="0" collapsed="false">
      <c r="A19" s="21" t="str">
        <f aca="false">IF(B13&lt;0,"Don't take CPP at 61 to fund RRSP: filling the gap nets "&amp;TEXT(B13,"$#,##0")&amp;" — the deduction saved is dwarfed by the CPP reduction. Defer CPP; fund room from freed loan cash.","Re-check: early CPP fill is net positive under current inputs.")</f>
        <v>Don't take CPP at 61 to fund RRSP: filling the gap nets -$22,642 — the deduction saved is dwarfed by the CPP reduction. Defer CPP; fund room from freed loan cash.</v>
      </c>
      <c r="B19" s="21"/>
      <c r="C19" s="21"/>
    </row>
    <row r="20" customFormat="false" ht="15" hidden="false" customHeight="false" outlineLevel="0" collapsed="false">
      <c r="A20" s="21"/>
      <c r="B20" s="21"/>
      <c r="C20" s="21"/>
    </row>
    <row r="21" customFormat="false" ht="15" hidden="false" customHeight="false" outlineLevel="0" collapsed="false">
      <c r="A21" s="21"/>
      <c r="B21" s="21"/>
      <c r="C21" s="21"/>
    </row>
    <row r="22" customFormat="false" ht="15" hidden="false" customHeight="false" outlineLevel="0" collapsed="false">
      <c r="A22" s="21"/>
      <c r="B22" s="21"/>
      <c r="C22" s="21"/>
    </row>
  </sheetData>
  <mergeCells count="1">
    <mergeCell ref="A19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2026-06-27T22:08:27Z</dcterms:created>
  <dc:creator>openpyxl</dc:creator>
  <dc:description/>
  <dc:language>en-US</dc:language>
  <cp:lastModifiedBy/>
  <dcterms:modified xsi:type="dcterms:W3CDTF">2026-06-27T22:08:27Z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