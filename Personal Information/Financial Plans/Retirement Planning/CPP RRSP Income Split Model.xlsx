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<sst xmlns="http://schemas.openxmlformats.org/spreadsheetml/2006/main" count="73" uniqueCount="70">
  <si>
    <t xml:space="preserve">Year-by-Year Cash Flow with T1032 Income Splitting</t>
  </si>
  <si>
    <t xml:space="preserve">Real 2026 $. Split = equalize the two taxable incomes, capped at 50% of Alec’s eligible pension (LAPP + RRIF). Columns W/X/Y show the benefit vs. not splitting. Tax = bracket estimate, confirm with accountant.</t>
  </si>
  <si>
    <t xml:space="preserve">Year</t>
  </si>
  <si>
    <t xml:space="preserve">Alec
age</t>
  </si>
  <si>
    <t xml:space="preserve">Andrea
age</t>
  </si>
  <si>
    <t xml:space="preserve">Alec
LAPP</t>
  </si>
  <si>
    <t xml:space="preserve">Alec
CPP</t>
  </si>
  <si>
    <t xml:space="preserve">Alec
OAS</t>
  </si>
  <si>
    <t xml:space="preserve">Alec
RRIF w/d</t>
  </si>
  <si>
    <t xml:space="preserve">Alec
pre-split</t>
  </si>
  <si>
    <t xml:space="preserve">Andrea
LAPP</t>
  </si>
  <si>
    <t xml:space="preserve">Andrea
CPP</t>
  </si>
  <si>
    <t xml:space="preserve">Andrea
OAS</t>
  </si>
  <si>
    <t xml:space="preserve">Andrea
RRIF w/d</t>
  </si>
  <si>
    <t xml:space="preserve">Andrea
pre-split</t>
  </si>
  <si>
    <t xml:space="preserve">Alec elig.
pension</t>
  </si>
  <si>
    <t xml:space="preserve">Split
A→An</t>
  </si>
  <si>
    <t xml:space="preserve">Alec
post-split</t>
  </si>
  <si>
    <t xml:space="preserve">Andrea
post-split</t>
  </si>
  <si>
    <t xml:space="preserve">Alec
tax</t>
  </si>
  <si>
    <t xml:space="preserve">Andrea
tax</t>
  </si>
  <si>
    <t xml:space="preserve">Alec
clawbk</t>
  </si>
  <si>
    <t xml:space="preserve">Andrea
clawbk</t>
  </si>
  <si>
    <t xml:space="preserve">H/H
after-tax</t>
  </si>
  <si>
    <t xml:space="preserve">Tax+CB
WITH split</t>
  </si>
  <si>
    <t xml:space="preserve">Tax+CB
NO split</t>
  </si>
  <si>
    <t xml:space="preserve">Split
SAVING</t>
  </si>
  <si>
    <t xml:space="preserve">TOTAL</t>
  </si>
  <si>
    <t xml:space="preserve">Retirement Cash Flow Model — Assumptions</t>
  </si>
  <si>
    <t xml:space="preserve">Scenario: Retire Feb 2030 · Alec defers CPP to 70 · Andrea CPP &amp; OAS at 65</t>
  </si>
  <si>
    <t xml:space="preserve">All figures in REAL 2026 dollars (inflation netted out). Blue = input you can change.</t>
  </si>
  <si>
    <t xml:space="preserve">Key assumptions</t>
  </si>
  <si>
    <t xml:space="preserve">CPI inflation (for reference)</t>
  </si>
  <si>
    <t xml:space="preserve">LAPP pension real growth (1.5% index − 2.5% CPI)</t>
  </si>
  <si>
    <t xml:space="preserve">Investment return, real</t>
  </si>
  <si>
    <t xml:space="preserve">OAS clawback threshold (CPI-indexed → constant real)</t>
  </si>
  <si>
    <t xml:space="preserve">OAS clawback rate</t>
  </si>
  <si>
    <t xml:space="preserve">Tax-free band (combined basic personal amount, approx.)</t>
  </si>
  <si>
    <t xml:space="preserve">Income building blocks (real 2026 $, annual)</t>
  </si>
  <si>
    <t xml:space="preserve">Alec LAPP starting pension (Feb 2030)</t>
  </si>
  <si>
    <t xml:space="preserve">Source: file 02 Income Sources</t>
  </si>
  <si>
    <t xml:space="preserve">Andrea LAPP starting pension (Feb 2030, validated)</t>
  </si>
  <si>
    <t xml:space="preserve">Alec CPP at 70 (deferred)</t>
  </si>
  <si>
    <t xml:space="preserve">Source: file 02 MSCA</t>
  </si>
  <si>
    <t xml:space="preserve">Andrea CPP at 65</t>
  </si>
  <si>
    <t xml:space="preserve">Source: file 02 MSCA est ~95% max</t>
  </si>
  <si>
    <t xml:space="preserve">Alec OAS at 65</t>
  </si>
  <si>
    <t xml:space="preserve">Source: file 02</t>
  </si>
  <si>
    <t xml:space="preserve">Andrea OAS at 65</t>
  </si>
  <si>
    <t xml:space="preserve">Alec RRSP balance (2026)</t>
  </si>
  <si>
    <t xml:space="preserve">Source: file 03</t>
  </si>
  <si>
    <t xml:space="preserve">Andrea RRSP balance (2026)</t>
  </si>
  <si>
    <t xml:space="preserve">Start years</t>
  </si>
  <si>
    <t xml:space="preserve">Alec LAPP / OAS start</t>
  </si>
  <si>
    <t xml:space="preserve">Alec CPP start (deferred to 70)</t>
  </si>
  <si>
    <t xml:space="preserve">Alec RRIF conversion (year turns 71)</t>
  </si>
  <si>
    <t xml:space="preserve">Andrea LAPP start</t>
  </si>
  <si>
    <t xml:space="preserve">Andrea CPP / OAS start (age 65)</t>
  </si>
  <si>
    <t xml:space="preserve">Andrea RRIF conversion (year turns 71)</t>
  </si>
  <si>
    <t xml:space="preserve">Alec birth year</t>
  </si>
  <si>
    <t xml:space="preserve">Andrea birth year</t>
  </si>
  <si>
    <t xml:space="preserve">Alec discretionary RRIF meltdown, 2030–2034 (per yr, age 65–69)</t>
  </si>
  <si>
    <t xml:space="preserve">(Assumes partial RRSP→RRIF at 65 so withdrawals are splittable)</t>
  </si>
  <si>
    <t xml:space="preserve">Alberta+Federal progressive tax (approx. 2026 — CONFIRM w/ accountant)</t>
  </si>
  <si>
    <t xml:space="preserve">Bracket floor</t>
  </si>
  <si>
    <t xml:space="preserve">Marginal Δ rate</t>
  </si>
  <si>
    <t xml:space="preserve">Cumulative rate</t>
  </si>
  <si>
    <t xml:space="preserve">RRIF minimum factors</t>
  </si>
  <si>
    <t xml:space="preserve">Age</t>
  </si>
  <si>
    <t xml:space="preserve">Min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</si>
</sst>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;&quot;($&quot;#,##0\);\-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6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9" min="18" style="0" width="11"/>
    <col collapsed="false" customWidth="true" hidden="false" outlineLevel="0" max="21" min="20" style="0" width="9"/>
    <col collapsed="false" customWidth="true" hidden="false" outlineLevel="0" max="24" min="22" style="0" width="12"/>
    <col collapsed="false" customWidth="true" hidden="false" outlineLevel="0" max="25" min="25" style="0" width="11"/>
    <col collapsed="false" customWidth="true" hidden="true" outlineLevel="0" max="27" min="26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</row>
    <row r="5" customFormat="false" ht="15" hidden="false" customHeight="false" outlineLevel="0" collapsed="false">
      <c r="A5" s="8" t="n">
        <v>2030</v>
      </c>
      <c r="B5" s="8" t="n">
        <f aca="false">A5-Assumptions!$B$29</f>
        <v>65</v>
      </c>
      <c r="C5" s="8" t="n">
        <f aca="false">A5-Assumptions!$B$30</f>
        <v>62</v>
      </c>
      <c r="D5" s="9" t="n">
        <f aca="false">IF(A5&gt;=Assumptions!$B$23,Assumptions!$B$13*(1+Assumptions!$B$6)^(A5-Assumptions!$B$23),0)</f>
        <v>67700</v>
      </c>
      <c r="E5" s="9" t="n">
        <f aca="false">IF(A5&gt;=Assumptions!$B$24,Assumptions!$B$15,0)</f>
        <v>0</v>
      </c>
      <c r="F5" s="9" t="n">
        <f aca="false">IF(A5&gt;=Assumptions!$B$23,Assumptions!$B$17,0)</f>
        <v>8917</v>
      </c>
      <c r="G5" s="9" t="n">
        <f aca="false">MIN(Z5,MAX(IF(AND(A5&gt;=2030,A5&lt;=2034),Assumptions!$B$32,0),IF(B5&lt;71,0,VLOOKUP(MIN(B5,95),Assumptions!$E$37:$F$61,2,TRUE()))*Z5))</f>
        <v>25000</v>
      </c>
      <c r="H5" s="9" t="n">
        <f aca="false">D5+E5+F5+G5</f>
        <v>101617</v>
      </c>
      <c r="I5" s="9" t="n">
        <f aca="false">IF(A5&gt;=Assumptions!$B$26,Assumptions!$B$14*(1+Assumptions!$B$6)^(A5-Assumptions!$B$26),0)</f>
        <v>47480</v>
      </c>
      <c r="J5" s="9" t="n">
        <f aca="false">IF(A5&gt;=Assumptions!$B$27,Assumptions!$B$16,0)</f>
        <v>0</v>
      </c>
      <c r="K5" s="9" t="n">
        <f aca="false">IF(A5&gt;=Assumptions!$B$27,Assumptions!$B$18,0)</f>
        <v>0</v>
      </c>
      <c r="L5" s="9" t="n">
        <f aca="false">MIN(AA5,IF(C5&lt;71,0,VLOOKUP(MIN(C5,95),Assumptions!$E$37:$F$61,2,TRUE()))*AA5)</f>
        <v>0</v>
      </c>
      <c r="M5" s="9" t="n">
        <f aca="false">I5+J5+K5+L5</f>
        <v>47480</v>
      </c>
      <c r="N5" s="9" t="n">
        <f aca="false">D5+G5</f>
        <v>92700</v>
      </c>
      <c r="O5" s="9" t="n">
        <f aca="false">MIN(0.5*N5,MAX(0,(H5-M5)/2))</f>
        <v>27068.5</v>
      </c>
      <c r="P5" s="9" t="n">
        <f aca="false">H5-O5</f>
        <v>74548.5</v>
      </c>
      <c r="Q5" s="9" t="n">
        <f aca="false">M5+O5</f>
        <v>74548.5</v>
      </c>
      <c r="R5" s="9" t="n">
        <f aca="false">SUMPRODUCT(Assumptions!$B$36:$B$42,(P5-Assumptions!$A$36:$A$42)*((P5-Assumptions!$A$36:$A$42)&gt;0))</f>
        <v>13551.6675</v>
      </c>
      <c r="S5" s="9" t="n">
        <f aca="false">SUMPRODUCT(Assumptions!$B$36:$B$42,(Q5-Assumptions!$A$36:$A$42)*((Q5-Assumptions!$A$36:$A$42)&gt;0))</f>
        <v>13551.6675</v>
      </c>
      <c r="T5" s="9" t="n">
        <f aca="false">IF(B5&gt;=65,MIN(F5,Assumptions!$B$9*MAX(0,P5-Assumptions!$B$8)),0)</f>
        <v>0</v>
      </c>
      <c r="U5" s="9" t="n">
        <f aca="false">IF(C5&gt;=65,MIN(K5,Assumptions!$B$9*MAX(0,Q5-Assumptions!$B$8)),0)</f>
        <v>0</v>
      </c>
      <c r="V5" s="9" t="n">
        <f aca="false">H5+M5-R5-S5-T5-U5</f>
        <v>121993.665</v>
      </c>
      <c r="W5" s="9" t="n">
        <f aca="false">R5+S5+T5+U5</f>
        <v>27103.335</v>
      </c>
      <c r="X5" s="9" t="n">
        <f aca="false">SUMPRODUCT(Assumptions!$B$36:$B$42,(H5-Assumptions!$A$36:$A$42)*((H5-Assumptions!$A$36:$A$42)&gt;0))+SUMPRODUCT(Assumptions!$B$36:$B$42,(M5-Assumptions!$A$36:$A$42)*((M5-Assumptions!$A$36:$A$42)&gt;0))+IF(B5&gt;=65,MIN(F5,Assumptions!$B$9*MAX(0,H5-Assumptions!$B$8)),0)+IF(C5&gt;=65,MIN(K5,Assumptions!$B$9*MAX(0,M5-Assumptions!$B$8)),0)</f>
        <v>28842.06</v>
      </c>
      <c r="Y5" s="10" t="n">
        <f aca="false">X5-W5</f>
        <v>1738.725</v>
      </c>
      <c r="Z5" s="11" t="n">
        <f aca="false">Assumptions!$B$19*(1+Assumptions!$B$7)^(A5-2026)</f>
        <v>225101.762</v>
      </c>
      <c r="AA5" s="11" t="n">
        <f aca="false">Assumptions!$B$20*(1+Assumptions!$B$7)^(A5-2026)</f>
        <v>309514.92275</v>
      </c>
    </row>
    <row r="6" customFormat="false" ht="15" hidden="false" customHeight="false" outlineLevel="0" collapsed="false">
      <c r="A6" s="8" t="n">
        <v>2031</v>
      </c>
      <c r="B6" s="8" t="n">
        <f aca="false">A6-Assumptions!$B$29</f>
        <v>66</v>
      </c>
      <c r="C6" s="8" t="n">
        <f aca="false">A6-Assumptions!$B$30</f>
        <v>63</v>
      </c>
      <c r="D6" s="9" t="n">
        <f aca="false">IF(A6&gt;=Assumptions!$B$23,Assumptions!$B$13*(1+Assumptions!$B$6)^(A6-Assumptions!$B$23),0)</f>
        <v>67023</v>
      </c>
      <c r="E6" s="9" t="n">
        <f aca="false">IF(A6&gt;=Assumptions!$B$24,Assumptions!$B$15,0)</f>
        <v>0</v>
      </c>
      <c r="F6" s="9" t="n">
        <f aca="false">IF(A6&gt;=Assumptions!$B$23,Assumptions!$B$17,0)</f>
        <v>8917</v>
      </c>
      <c r="G6" s="9" t="n">
        <f aca="false">MIN(Z6,MAX(IF(AND(A6&gt;=2030,A6&lt;=2034),Assumptions!$B$32,0),IF(B6&lt;71,0,VLOOKUP(MIN(B6,95),Assumptions!$E$37:$F$61,2,TRUE()))*Z6))</f>
        <v>25000</v>
      </c>
      <c r="H6" s="9" t="n">
        <f aca="false">D6+E6+F6+G6</f>
        <v>100940</v>
      </c>
      <c r="I6" s="9" t="n">
        <f aca="false">IF(A6&gt;=Assumptions!$B$26,Assumptions!$B$14*(1+Assumptions!$B$6)^(A6-Assumptions!$B$26),0)</f>
        <v>47005.2</v>
      </c>
      <c r="J6" s="9" t="n">
        <f aca="false">IF(A6&gt;=Assumptions!$B$27,Assumptions!$B$16,0)</f>
        <v>0</v>
      </c>
      <c r="K6" s="9" t="n">
        <f aca="false">IF(A6&gt;=Assumptions!$B$27,Assumptions!$B$18,0)</f>
        <v>0</v>
      </c>
      <c r="L6" s="9" t="n">
        <f aca="false">MIN(AA6,IF(C6&lt;71,0,VLOOKUP(MIN(C6,95),Assumptions!$E$37:$F$61,2,TRUE()))*AA6)</f>
        <v>0</v>
      </c>
      <c r="M6" s="9" t="n">
        <f aca="false">I6+J6+K6+L6</f>
        <v>47005.2</v>
      </c>
      <c r="N6" s="9" t="n">
        <f aca="false">D6+G6</f>
        <v>92023</v>
      </c>
      <c r="O6" s="9" t="n">
        <f aca="false">MIN(0.5*N6,MAX(0,(H6-M6)/2))</f>
        <v>26967.4</v>
      </c>
      <c r="P6" s="9" t="n">
        <f aca="false">H6-O6</f>
        <v>73972.6</v>
      </c>
      <c r="Q6" s="9" t="n">
        <f aca="false">M6+O6</f>
        <v>73972.6</v>
      </c>
      <c r="R6" s="9" t="n">
        <f aca="false">SUMPRODUCT(Assumptions!$B$36:$B$42,(P6-Assumptions!$A$36:$A$42)*((P6-Assumptions!$A$36:$A$42)&gt;0))</f>
        <v>13376.018</v>
      </c>
      <c r="S6" s="9" t="n">
        <f aca="false">SUMPRODUCT(Assumptions!$B$36:$B$42,(Q6-Assumptions!$A$36:$A$42)*((Q6-Assumptions!$A$36:$A$42)&gt;0))</f>
        <v>13376.018</v>
      </c>
      <c r="T6" s="9" t="n">
        <f aca="false">IF(B6&gt;=65,MIN(F6,Assumptions!$B$9*MAX(0,P6-Assumptions!$B$8)),0)</f>
        <v>0</v>
      </c>
      <c r="U6" s="9" t="n">
        <f aca="false">IF(C6&gt;=65,MIN(K6,Assumptions!$B$9*MAX(0,Q6-Assumptions!$B$8)),0)</f>
        <v>0</v>
      </c>
      <c r="V6" s="9" t="n">
        <f aca="false">H6+M6-R6-S6-T6-U6</f>
        <v>121193.164</v>
      </c>
      <c r="W6" s="9" t="n">
        <f aca="false">R6+S6+T6+U6</f>
        <v>26752.036</v>
      </c>
      <c r="X6" s="9" t="n">
        <f aca="false">SUMPRODUCT(Assumptions!$B$36:$B$42,(H6-Assumptions!$A$36:$A$42)*((H6-Assumptions!$A$36:$A$42)&gt;0))+SUMPRODUCT(Assumptions!$B$36:$B$42,(M6-Assumptions!$A$36:$A$42)*((M6-Assumptions!$A$36:$A$42)&gt;0))+IF(B6&gt;=65,MIN(F6,Assumptions!$B$9*MAX(0,H6-Assumptions!$B$8)),0)+IF(C6&gt;=65,MIN(K6,Assumptions!$B$9*MAX(0,M6-Assumptions!$B$8)),0)</f>
        <v>28424.821</v>
      </c>
      <c r="Y6" s="10" t="n">
        <f aca="false">X6-W6</f>
        <v>1672.785</v>
      </c>
      <c r="Z6" s="11" t="n">
        <f aca="false">(Z5-G5)*(1+Assumptions!$B$7)</f>
        <v>206104.81486</v>
      </c>
      <c r="AA6" s="11" t="n">
        <f aca="false">(AA5-L5)*(1+Assumptions!$B$7)</f>
        <v>318800.3704325</v>
      </c>
    </row>
    <row r="7" customFormat="false" ht="15" hidden="false" customHeight="false" outlineLevel="0" collapsed="false">
      <c r="A7" s="8" t="n">
        <v>2032</v>
      </c>
      <c r="B7" s="8" t="n">
        <f aca="false">A7-Assumptions!$B$29</f>
        <v>67</v>
      </c>
      <c r="C7" s="8" t="n">
        <f aca="false">A7-Assumptions!$B$30</f>
        <v>64</v>
      </c>
      <c r="D7" s="9" t="n">
        <f aca="false">IF(A7&gt;=Assumptions!$B$23,Assumptions!$B$13*(1+Assumptions!$B$6)^(A7-Assumptions!$B$23),0)</f>
        <v>66352.77</v>
      </c>
      <c r="E7" s="9" t="n">
        <f aca="false">IF(A7&gt;=Assumptions!$B$24,Assumptions!$B$15,0)</f>
        <v>0</v>
      </c>
      <c r="F7" s="9" t="n">
        <f aca="false">IF(A7&gt;=Assumptions!$B$23,Assumptions!$B$17,0)</f>
        <v>8917</v>
      </c>
      <c r="G7" s="9" t="n">
        <f aca="false">MIN(Z7,MAX(IF(AND(A7&gt;=2030,A7&lt;=2034),Assumptions!$B$32,0),IF(B7&lt;71,0,VLOOKUP(MIN(B7,95),Assumptions!$E$37:$F$61,2,TRUE()))*Z7))</f>
        <v>25000</v>
      </c>
      <c r="H7" s="9" t="n">
        <f aca="false">D7+E7+F7+G7</f>
        <v>100269.77</v>
      </c>
      <c r="I7" s="9" t="n">
        <f aca="false">IF(A7&gt;=Assumptions!$B$26,Assumptions!$B$14*(1+Assumptions!$B$6)^(A7-Assumptions!$B$26),0)</f>
        <v>46535.148</v>
      </c>
      <c r="J7" s="9" t="n">
        <f aca="false">IF(A7&gt;=Assumptions!$B$27,Assumptions!$B$16,0)</f>
        <v>0</v>
      </c>
      <c r="K7" s="9" t="n">
        <f aca="false">IF(A7&gt;=Assumptions!$B$27,Assumptions!$B$18,0)</f>
        <v>0</v>
      </c>
      <c r="L7" s="9" t="n">
        <f aca="false">MIN(AA7,IF(C7&lt;71,0,VLOOKUP(MIN(C7,95),Assumptions!$E$37:$F$61,2,TRUE()))*AA7)</f>
        <v>0</v>
      </c>
      <c r="M7" s="9" t="n">
        <f aca="false">I7+J7+K7+L7</f>
        <v>46535.148</v>
      </c>
      <c r="N7" s="9" t="n">
        <f aca="false">D7+G7</f>
        <v>91352.77</v>
      </c>
      <c r="O7" s="9" t="n">
        <f aca="false">MIN(0.5*N7,MAX(0,(H7-M7)/2))</f>
        <v>26867.311</v>
      </c>
      <c r="P7" s="9" t="n">
        <f aca="false">H7-O7</f>
        <v>73402.459</v>
      </c>
      <c r="Q7" s="9" t="n">
        <f aca="false">M7+O7</f>
        <v>73402.459</v>
      </c>
      <c r="R7" s="9" t="n">
        <f aca="false">SUMPRODUCT(Assumptions!$B$36:$B$42,(P7-Assumptions!$A$36:$A$42)*((P7-Assumptions!$A$36:$A$42)&gt;0))</f>
        <v>13202.124995</v>
      </c>
      <c r="S7" s="9" t="n">
        <f aca="false">SUMPRODUCT(Assumptions!$B$36:$B$42,(Q7-Assumptions!$A$36:$A$42)*((Q7-Assumptions!$A$36:$A$42)&gt;0))</f>
        <v>13202.124995</v>
      </c>
      <c r="T7" s="9" t="n">
        <f aca="false">IF(B7&gt;=65,MIN(F7,Assumptions!$B$9*MAX(0,P7-Assumptions!$B$8)),0)</f>
        <v>0</v>
      </c>
      <c r="U7" s="9" t="n">
        <f aca="false">IF(C7&gt;=65,MIN(K7,Assumptions!$B$9*MAX(0,Q7-Assumptions!$B$8)),0)</f>
        <v>0</v>
      </c>
      <c r="V7" s="9" t="n">
        <f aca="false">H7+M7-R7-S7-T7-U7</f>
        <v>120400.66801</v>
      </c>
      <c r="W7" s="9" t="n">
        <f aca="false">R7+S7+T7+U7</f>
        <v>26404.24999</v>
      </c>
      <c r="X7" s="9" t="n">
        <f aca="false">SUMPRODUCT(Assumptions!$B$36:$B$42,(H7-Assumptions!$A$36:$A$42)*((H7-Assumptions!$A$36:$A$42)&gt;0))+SUMPRODUCT(Assumptions!$B$36:$B$42,(M7-Assumptions!$A$36:$A$42)*((M7-Assumptions!$A$36:$A$42)&gt;0))+IF(B7&gt;=65,MIN(F7,Assumptions!$B$9*MAX(0,H7-Assumptions!$B$8)),0)+IF(C7&gt;=65,MIN(K7,Assumptions!$B$9*MAX(0,M7-Assumptions!$B$8)),0)</f>
        <v>28011.75439</v>
      </c>
      <c r="Y7" s="10" t="n">
        <f aca="false">X7-W7</f>
        <v>1607.50440000001</v>
      </c>
      <c r="Z7" s="11" t="n">
        <f aca="false">(Z6-G6)*(1+Assumptions!$B$7)</f>
        <v>186537.9593058</v>
      </c>
      <c r="AA7" s="11" t="n">
        <f aca="false">(AA6-L6)*(1+Assumptions!$B$7)</f>
        <v>328364.381545475</v>
      </c>
    </row>
    <row r="8" customFormat="false" ht="15" hidden="false" customHeight="false" outlineLevel="0" collapsed="false">
      <c r="A8" s="8" t="n">
        <v>2033</v>
      </c>
      <c r="B8" s="8" t="n">
        <f aca="false">A8-Assumptions!$B$29</f>
        <v>68</v>
      </c>
      <c r="C8" s="8" t="n">
        <f aca="false">A8-Assumptions!$B$30</f>
        <v>65</v>
      </c>
      <c r="D8" s="9" t="n">
        <f aca="false">IF(A8&gt;=Assumptions!$B$23,Assumptions!$B$13*(1+Assumptions!$B$6)^(A8-Assumptions!$B$23),0)</f>
        <v>65689.2423</v>
      </c>
      <c r="E8" s="9" t="n">
        <f aca="false">IF(A8&gt;=Assumptions!$B$24,Assumptions!$B$15,0)</f>
        <v>0</v>
      </c>
      <c r="F8" s="9" t="n">
        <f aca="false">IF(A8&gt;=Assumptions!$B$23,Assumptions!$B$17,0)</f>
        <v>8917</v>
      </c>
      <c r="G8" s="9" t="n">
        <f aca="false">MIN(Z8,MAX(IF(AND(A8&gt;=2030,A8&lt;=2034),Assumptions!$B$32,0),IF(B8&lt;71,0,VLOOKUP(MIN(B8,95),Assumptions!$E$37:$F$61,2,TRUE()))*Z8))</f>
        <v>25000</v>
      </c>
      <c r="H8" s="9" t="n">
        <f aca="false">D8+E8+F8+G8</f>
        <v>99606.2423</v>
      </c>
      <c r="I8" s="9" t="n">
        <f aca="false">IF(A8&gt;=Assumptions!$B$26,Assumptions!$B$14*(1+Assumptions!$B$6)^(A8-Assumptions!$B$26),0)</f>
        <v>46069.79652</v>
      </c>
      <c r="J8" s="9" t="n">
        <f aca="false">IF(A8&gt;=Assumptions!$B$27,Assumptions!$B$16,0)</f>
        <v>17185</v>
      </c>
      <c r="K8" s="9" t="n">
        <f aca="false">IF(A8&gt;=Assumptions!$B$27,Assumptions!$B$18,0)</f>
        <v>8917</v>
      </c>
      <c r="L8" s="9" t="n">
        <f aca="false">MIN(AA8,IF(C8&lt;71,0,VLOOKUP(MIN(C8,95),Assumptions!$E$37:$F$61,2,TRUE()))*AA8)</f>
        <v>0</v>
      </c>
      <c r="M8" s="9" t="n">
        <f aca="false">I8+J8+K8+L8</f>
        <v>72171.79652</v>
      </c>
      <c r="N8" s="9" t="n">
        <f aca="false">D8+G8</f>
        <v>90689.2423</v>
      </c>
      <c r="O8" s="9" t="n">
        <f aca="false">MIN(0.5*N8,MAX(0,(H8-M8)/2))</f>
        <v>13717.22289</v>
      </c>
      <c r="P8" s="9" t="n">
        <f aca="false">H8-O8</f>
        <v>85889.01941</v>
      </c>
      <c r="Q8" s="9" t="n">
        <f aca="false">M8+O8</f>
        <v>85889.01941</v>
      </c>
      <c r="R8" s="9" t="n">
        <f aca="false">SUMPRODUCT(Assumptions!$B$36:$B$42,(P8-Assumptions!$A$36:$A$42)*((P8-Assumptions!$A$36:$A$42)&gt;0))</f>
        <v>17010.52592005</v>
      </c>
      <c r="S8" s="9" t="n">
        <f aca="false">SUMPRODUCT(Assumptions!$B$36:$B$42,(Q8-Assumptions!$A$36:$A$42)*((Q8-Assumptions!$A$36:$A$42)&gt;0))</f>
        <v>17010.52592005</v>
      </c>
      <c r="T8" s="9" t="n">
        <f aca="false">IF(B8&gt;=65,MIN(F8,Assumptions!$B$9*MAX(0,P8-Assumptions!$B$8)),0)</f>
        <v>0</v>
      </c>
      <c r="U8" s="9" t="n">
        <f aca="false">IF(C8&gt;=65,MIN(K8,Assumptions!$B$9*MAX(0,Q8-Assumptions!$B$8)),0)</f>
        <v>0</v>
      </c>
      <c r="V8" s="9" t="n">
        <f aca="false">H8+M8-R8-S8-T8-U8</f>
        <v>137756.9869799</v>
      </c>
      <c r="W8" s="9" t="n">
        <f aca="false">R8+S8+T8+U8</f>
        <v>34021.0518401</v>
      </c>
      <c r="X8" s="9" t="n">
        <f aca="false">SUMPRODUCT(Assumptions!$B$36:$B$42,(H8-Assumptions!$A$36:$A$42)*((H8-Assumptions!$A$36:$A$42)&gt;0))+SUMPRODUCT(Assumptions!$B$36:$B$42,(M8-Assumptions!$A$36:$A$42)*((M8-Assumptions!$A$36:$A$42)&gt;0))+IF(B8&gt;=65,MIN(F8,Assumptions!$B$9*MAX(0,H8-Assumptions!$B$8)),0)+IF(C8&gt;=65,MIN(K8,Assumptions!$B$9*MAX(0,M8-Assumptions!$B$8)),0)</f>
        <v>34663.5381851</v>
      </c>
      <c r="Y8" s="10" t="n">
        <f aca="false">X8-W8</f>
        <v>642.48634499999</v>
      </c>
      <c r="Z8" s="11" t="n">
        <f aca="false">(Z7-G7)*(1+Assumptions!$B$7)</f>
        <v>166384.098084974</v>
      </c>
      <c r="AA8" s="11" t="n">
        <f aca="false">(AA7-L7)*(1+Assumptions!$B$7)</f>
        <v>338215.312991839</v>
      </c>
    </row>
    <row r="9" customFormat="false" ht="15" hidden="false" customHeight="false" outlineLevel="0" collapsed="false">
      <c r="A9" s="8" t="n">
        <v>2034</v>
      </c>
      <c r="B9" s="8" t="n">
        <f aca="false">A9-Assumptions!$B$29</f>
        <v>69</v>
      </c>
      <c r="C9" s="8" t="n">
        <f aca="false">A9-Assumptions!$B$30</f>
        <v>66</v>
      </c>
      <c r="D9" s="9" t="n">
        <f aca="false">IF(A9&gt;=Assumptions!$B$23,Assumptions!$B$13*(1+Assumptions!$B$6)^(A9-Assumptions!$B$23),0)</f>
        <v>65032.349877</v>
      </c>
      <c r="E9" s="9" t="n">
        <f aca="false">IF(A9&gt;=Assumptions!$B$24,Assumptions!$B$15,0)</f>
        <v>0</v>
      </c>
      <c r="F9" s="9" t="n">
        <f aca="false">IF(A9&gt;=Assumptions!$B$23,Assumptions!$B$17,0)</f>
        <v>8917</v>
      </c>
      <c r="G9" s="9" t="n">
        <f aca="false">MIN(Z9,MAX(IF(AND(A9&gt;=2030,A9&lt;=2034),Assumptions!$B$32,0),IF(B9&lt;71,0,VLOOKUP(MIN(B9,95),Assumptions!$E$37:$F$61,2,TRUE()))*Z9))</f>
        <v>25000</v>
      </c>
      <c r="H9" s="9" t="n">
        <f aca="false">D9+E9+F9+G9</f>
        <v>98949.349877</v>
      </c>
      <c r="I9" s="9" t="n">
        <f aca="false">IF(A9&gt;=Assumptions!$B$26,Assumptions!$B$14*(1+Assumptions!$B$6)^(A9-Assumptions!$B$26),0)</f>
        <v>45609.0985548</v>
      </c>
      <c r="J9" s="9" t="n">
        <f aca="false">IF(A9&gt;=Assumptions!$B$27,Assumptions!$B$16,0)</f>
        <v>17185</v>
      </c>
      <c r="K9" s="9" t="n">
        <f aca="false">IF(A9&gt;=Assumptions!$B$27,Assumptions!$B$18,0)</f>
        <v>8917</v>
      </c>
      <c r="L9" s="9" t="n">
        <f aca="false">MIN(AA9,IF(C9&lt;71,0,VLOOKUP(MIN(C9,95),Assumptions!$E$37:$F$61,2,TRUE()))*AA9)</f>
        <v>0</v>
      </c>
      <c r="M9" s="9" t="n">
        <f aca="false">I9+J9+K9+L9</f>
        <v>71711.0985548</v>
      </c>
      <c r="N9" s="9" t="n">
        <f aca="false">D9+G9</f>
        <v>90032.349877</v>
      </c>
      <c r="O9" s="9" t="n">
        <f aca="false">MIN(0.5*N9,MAX(0,(H9-M9)/2))</f>
        <v>13619.1256611</v>
      </c>
      <c r="P9" s="9" t="n">
        <f aca="false">H9-O9</f>
        <v>85330.2242159</v>
      </c>
      <c r="Q9" s="9" t="n">
        <f aca="false">M9+O9</f>
        <v>85330.2242159</v>
      </c>
      <c r="R9" s="9" t="n">
        <f aca="false">SUMPRODUCT(Assumptions!$B$36:$B$42,(P9-Assumptions!$A$36:$A$42)*((P9-Assumptions!$A$36:$A$42)&gt;0))</f>
        <v>16840.0933858495</v>
      </c>
      <c r="S9" s="9" t="n">
        <f aca="false">SUMPRODUCT(Assumptions!$B$36:$B$42,(Q9-Assumptions!$A$36:$A$42)*((Q9-Assumptions!$A$36:$A$42)&gt;0))</f>
        <v>16840.0933858495</v>
      </c>
      <c r="T9" s="9" t="n">
        <f aca="false">IF(B9&gt;=65,MIN(F9,Assumptions!$B$9*MAX(0,P9-Assumptions!$B$8)),0)</f>
        <v>0</v>
      </c>
      <c r="U9" s="9" t="n">
        <f aca="false">IF(C9&gt;=65,MIN(K9,Assumptions!$B$9*MAX(0,Q9-Assumptions!$B$8)),0)</f>
        <v>0</v>
      </c>
      <c r="V9" s="9" t="n">
        <f aca="false">H9+M9-R9-S9-T9-U9</f>
        <v>136980.261660101</v>
      </c>
      <c r="W9" s="9" t="n">
        <f aca="false">R9+S9+T9+U9</f>
        <v>33680.186771699</v>
      </c>
      <c r="X9" s="9" t="n">
        <f aca="false">SUMPRODUCT(Assumptions!$B$36:$B$42,(H9-Assumptions!$A$36:$A$42)*((H9-Assumptions!$A$36:$A$42)&gt;0))+SUMPRODUCT(Assumptions!$B$36:$B$42,(M9-Assumptions!$A$36:$A$42)*((M9-Assumptions!$A$36:$A$42)&gt;0))+IF(B9&gt;=65,MIN(F9,Assumptions!$B$9*MAX(0,H9-Assumptions!$B$8)),0)+IF(C9&gt;=65,MIN(K9,Assumptions!$B$9*MAX(0,M9-Assumptions!$B$8)),0)</f>
        <v>34224.139253249</v>
      </c>
      <c r="Y9" s="10" t="n">
        <f aca="false">X9-W9</f>
        <v>543.952481549997</v>
      </c>
      <c r="Z9" s="11" t="n">
        <f aca="false">(Z8-G8)*(1+Assumptions!$B$7)</f>
        <v>145625.621027523</v>
      </c>
      <c r="AA9" s="11" t="n">
        <f aca="false">(AA8-L8)*(1+Assumptions!$B$7)</f>
        <v>348361.772381595</v>
      </c>
    </row>
    <row r="10" customFormat="false" ht="15" hidden="false" customHeight="false" outlineLevel="0" collapsed="false">
      <c r="A10" s="8" t="n">
        <v>2035</v>
      </c>
      <c r="B10" s="8" t="n">
        <f aca="false">A10-Assumptions!$B$29</f>
        <v>70</v>
      </c>
      <c r="C10" s="8" t="n">
        <f aca="false">A10-Assumptions!$B$30</f>
        <v>67</v>
      </c>
      <c r="D10" s="9" t="n">
        <f aca="false">IF(A10&gt;=Assumptions!$B$23,Assumptions!$B$13*(1+Assumptions!$B$6)^(A10-Assumptions!$B$23),0)</f>
        <v>64382.02637823</v>
      </c>
      <c r="E10" s="9" t="n">
        <f aca="false">IF(A10&gt;=Assumptions!$B$24,Assumptions!$B$15,0)</f>
        <v>25690</v>
      </c>
      <c r="F10" s="9" t="n">
        <f aca="false">IF(A10&gt;=Assumptions!$B$23,Assumptions!$B$17,0)</f>
        <v>8917</v>
      </c>
      <c r="G10" s="9" t="n">
        <f aca="false">MIN(Z10,MAX(IF(AND(A10&gt;=2030,A10&lt;=2034),Assumptions!$B$32,0),IF(B10&lt;71,0,VLOOKUP(MIN(B10,95),Assumptions!$E$37:$F$61,2,TRUE()))*Z10))</f>
        <v>0</v>
      </c>
      <c r="H10" s="9" t="n">
        <f aca="false">D10+E10+F10+G10</f>
        <v>98989.02637823</v>
      </c>
      <c r="I10" s="9" t="n">
        <f aca="false">IF(A10&gt;=Assumptions!$B$26,Assumptions!$B$14*(1+Assumptions!$B$6)^(A10-Assumptions!$B$26),0)</f>
        <v>45153.007569252</v>
      </c>
      <c r="J10" s="9" t="n">
        <f aca="false">IF(A10&gt;=Assumptions!$B$27,Assumptions!$B$16,0)</f>
        <v>17185</v>
      </c>
      <c r="K10" s="9" t="n">
        <f aca="false">IF(A10&gt;=Assumptions!$B$27,Assumptions!$B$18,0)</f>
        <v>8917</v>
      </c>
      <c r="L10" s="9" t="n">
        <f aca="false">MIN(AA10,IF(C10&lt;71,0,VLOOKUP(MIN(C10,95),Assumptions!$E$37:$F$61,2,TRUE()))*AA10)</f>
        <v>0</v>
      </c>
      <c r="M10" s="9" t="n">
        <f aca="false">I10+J10+K10+L10</f>
        <v>71255.007569252</v>
      </c>
      <c r="N10" s="9" t="n">
        <f aca="false">D10+G10</f>
        <v>64382.02637823</v>
      </c>
      <c r="O10" s="9" t="n">
        <f aca="false">MIN(0.5*N10,MAX(0,(H10-M10)/2))</f>
        <v>13867.009404489</v>
      </c>
      <c r="P10" s="9" t="n">
        <f aca="false">H10-O10</f>
        <v>85122.016973741</v>
      </c>
      <c r="Q10" s="9" t="n">
        <f aca="false">M10+O10</f>
        <v>85122.016973741</v>
      </c>
      <c r="R10" s="9" t="n">
        <f aca="false">SUMPRODUCT(Assumptions!$B$36:$B$42,(P10-Assumptions!$A$36:$A$42)*((P10-Assumptions!$A$36:$A$42)&gt;0))</f>
        <v>16776.590176991</v>
      </c>
      <c r="S10" s="9" t="n">
        <f aca="false">SUMPRODUCT(Assumptions!$B$36:$B$42,(Q10-Assumptions!$A$36:$A$42)*((Q10-Assumptions!$A$36:$A$42)&gt;0))</f>
        <v>16776.590176991</v>
      </c>
      <c r="T10" s="9" t="n">
        <f aca="false">IF(B10&gt;=65,MIN(F10,Assumptions!$B$9*MAX(0,P10-Assumptions!$B$8)),0)</f>
        <v>0</v>
      </c>
      <c r="U10" s="9" t="n">
        <f aca="false">IF(C10&gt;=65,MIN(K10,Assumptions!$B$9*MAX(0,Q10-Assumptions!$B$8)),0)</f>
        <v>0</v>
      </c>
      <c r="V10" s="9" t="n">
        <f aca="false">H10+M10-R10-S10-T10-U10</f>
        <v>136690.8535935</v>
      </c>
      <c r="W10" s="9" t="n">
        <f aca="false">R10+S10+T10+U10</f>
        <v>33553.180353982</v>
      </c>
      <c r="X10" s="9" t="n">
        <f aca="false">SUMPRODUCT(Assumptions!$B$36:$B$42,(H10-Assumptions!$A$36:$A$42)*((H10-Assumptions!$A$36:$A$42)&gt;0))+SUMPRODUCT(Assumptions!$B$36:$B$42,(M10-Assumptions!$A$36:$A$42)*((M10-Assumptions!$A$36:$A$42)&gt;0))+IF(B10&gt;=65,MIN(F10,Assumptions!$B$9*MAX(0,H10-Assumptions!$B$8)),0)+IF(C10&gt;=65,MIN(K10,Assumptions!$B$9*MAX(0,M10-Assumptions!$B$8)),0)</f>
        <v>34103.0843107165</v>
      </c>
      <c r="Y10" s="10" t="n">
        <f aca="false">X10-W10</f>
        <v>549.903956734503</v>
      </c>
      <c r="Z10" s="11" t="n">
        <f aca="false">(Z9-G9)*(1+Assumptions!$B$7)</f>
        <v>124244.389658349</v>
      </c>
      <c r="AA10" s="11" t="n">
        <f aca="false">(AA9-L9)*(1+Assumptions!$B$7)</f>
        <v>358812.625553042</v>
      </c>
    </row>
    <row r="11" customFormat="false" ht="15" hidden="false" customHeight="false" outlineLevel="0" collapsed="false">
      <c r="A11" s="8" t="n">
        <v>2036</v>
      </c>
      <c r="B11" s="8" t="n">
        <f aca="false">A11-Assumptions!$B$29</f>
        <v>71</v>
      </c>
      <c r="C11" s="8" t="n">
        <f aca="false">A11-Assumptions!$B$30</f>
        <v>68</v>
      </c>
      <c r="D11" s="9" t="n">
        <f aca="false">IF(A11&gt;=Assumptions!$B$23,Assumptions!$B$13*(1+Assumptions!$B$6)^(A11-Assumptions!$B$23),0)</f>
        <v>63738.2061144477</v>
      </c>
      <c r="E11" s="9" t="n">
        <f aca="false">IF(A11&gt;=Assumptions!$B$24,Assumptions!$B$15,0)</f>
        <v>25690</v>
      </c>
      <c r="F11" s="9" t="n">
        <f aca="false">IF(A11&gt;=Assumptions!$B$23,Assumptions!$B$17,0)</f>
        <v>8917</v>
      </c>
      <c r="G11" s="9" t="n">
        <f aca="false">MIN(Z11,MAX(IF(AND(A11&gt;=2030,A11&lt;=2034),Assumptions!$B$32,0),IF(B11&lt;71,0,VLOOKUP(MIN(B11,95),Assumptions!$E$37:$F$61,2,TRUE()))*Z11))</f>
        <v>6756.90688717965</v>
      </c>
      <c r="H11" s="9" t="n">
        <f aca="false">D11+E11+F11+G11</f>
        <v>105102.113001627</v>
      </c>
      <c r="I11" s="9" t="n">
        <f aca="false">IF(A11&gt;=Assumptions!$B$26,Assumptions!$B$14*(1+Assumptions!$B$6)^(A11-Assumptions!$B$26),0)</f>
        <v>44701.4774935595</v>
      </c>
      <c r="J11" s="9" t="n">
        <f aca="false">IF(A11&gt;=Assumptions!$B$27,Assumptions!$B$16,0)</f>
        <v>17185</v>
      </c>
      <c r="K11" s="9" t="n">
        <f aca="false">IF(A11&gt;=Assumptions!$B$27,Assumptions!$B$18,0)</f>
        <v>8917</v>
      </c>
      <c r="L11" s="9" t="n">
        <f aca="false">MIN(AA11,IF(C11&lt;71,0,VLOOKUP(MIN(C11,95),Assumptions!$E$37:$F$61,2,TRUE()))*AA11)</f>
        <v>0</v>
      </c>
      <c r="M11" s="9" t="n">
        <f aca="false">I11+J11+K11+L11</f>
        <v>70803.4774935595</v>
      </c>
      <c r="N11" s="9" t="n">
        <f aca="false">D11+G11</f>
        <v>70495.1130016274</v>
      </c>
      <c r="O11" s="9" t="n">
        <f aca="false">MIN(0.5*N11,MAX(0,(H11-M11)/2))</f>
        <v>17149.3177540339</v>
      </c>
      <c r="P11" s="9" t="n">
        <f aca="false">H11-O11</f>
        <v>87952.7952475934</v>
      </c>
      <c r="Q11" s="9" t="n">
        <f aca="false">M11+O11</f>
        <v>87952.7952475934</v>
      </c>
      <c r="R11" s="9" t="n">
        <f aca="false">SUMPRODUCT(Assumptions!$B$36:$B$42,(P11-Assumptions!$A$36:$A$42)*((P11-Assumptions!$A$36:$A$42)&gt;0))</f>
        <v>17639.977550516</v>
      </c>
      <c r="S11" s="9" t="n">
        <f aca="false">SUMPRODUCT(Assumptions!$B$36:$B$42,(Q11-Assumptions!$A$36:$A$42)*((Q11-Assumptions!$A$36:$A$42)&gt;0))</f>
        <v>17639.977550516</v>
      </c>
      <c r="T11" s="9" t="n">
        <f aca="false">IF(B11&gt;=65,MIN(F11,Assumptions!$B$9*MAX(0,P11-Assumptions!$B$8)),0)</f>
        <v>0</v>
      </c>
      <c r="U11" s="9" t="n">
        <f aca="false">IF(C11&gt;=65,MIN(K11,Assumptions!$B$9*MAX(0,Q11-Assumptions!$B$8)),0)</f>
        <v>0</v>
      </c>
      <c r="V11" s="9" t="n">
        <f aca="false">H11+M11-R11-S11-T11-U11</f>
        <v>140625.635394155</v>
      </c>
      <c r="W11" s="9" t="n">
        <f aca="false">R11+S11+T11+U11</f>
        <v>35279.955101032</v>
      </c>
      <c r="X11" s="9" t="n">
        <f aca="false">SUMPRODUCT(Assumptions!$B$36:$B$42,(H11-Assumptions!$A$36:$A$42)*((H11-Assumptions!$A$36:$A$42)&gt;0))+SUMPRODUCT(Assumptions!$B$36:$B$42,(M11-Assumptions!$A$36:$A$42)*((M11-Assumptions!$A$36:$A$42)&gt;0))+IF(B11&gt;=65,MIN(F11,Assumptions!$B$9*MAX(0,H11-Assumptions!$B$8)),0)+IF(C11&gt;=65,MIN(K11,Assumptions!$B$9*MAX(0,M11-Assumptions!$B$8)),0)</f>
        <v>36746.8220512761</v>
      </c>
      <c r="Y11" s="10" t="n">
        <f aca="false">X11-W11</f>
        <v>1466.8669502441</v>
      </c>
      <c r="Z11" s="11" t="n">
        <f aca="false">(Z10-G10)*(1+Assumptions!$B$7)</f>
        <v>127971.721348099</v>
      </c>
      <c r="AA11" s="11" t="n">
        <f aca="false">(AA10-L10)*(1+Assumptions!$B$7)</f>
        <v>369577.004319634</v>
      </c>
    </row>
    <row r="12" customFormat="false" ht="15" hidden="false" customHeight="false" outlineLevel="0" collapsed="false">
      <c r="A12" s="8" t="n">
        <v>2037</v>
      </c>
      <c r="B12" s="8" t="n">
        <f aca="false">A12-Assumptions!$B$29</f>
        <v>72</v>
      </c>
      <c r="C12" s="8" t="n">
        <f aca="false">A12-Assumptions!$B$30</f>
        <v>69</v>
      </c>
      <c r="D12" s="9" t="n">
        <f aca="false">IF(A12&gt;=Assumptions!$B$23,Assumptions!$B$13*(1+Assumptions!$B$6)^(A12-Assumptions!$B$23),0)</f>
        <v>63100.8240533032</v>
      </c>
      <c r="E12" s="9" t="n">
        <f aca="false">IF(A12&gt;=Assumptions!$B$24,Assumptions!$B$15,0)</f>
        <v>25690</v>
      </c>
      <c r="F12" s="9" t="n">
        <f aca="false">IF(A12&gt;=Assumptions!$B$23,Assumptions!$B$17,0)</f>
        <v>8917</v>
      </c>
      <c r="G12" s="9" t="n">
        <f aca="false">MIN(Z12,MAX(IF(AND(A12&gt;=2030,A12&lt;=2034),Assumptions!$B$32,0),IF(B12&lt;71,0,VLOOKUP(MIN(B12,95),Assumptions!$E$37:$F$61,2,TRUE()))*Z12))</f>
        <v>6741.96798031636</v>
      </c>
      <c r="H12" s="9" t="n">
        <f aca="false">D12+E12+F12+G12</f>
        <v>104449.79203362</v>
      </c>
      <c r="I12" s="9" t="n">
        <f aca="false">IF(A12&gt;=Assumptions!$B$26,Assumptions!$B$14*(1+Assumptions!$B$6)^(A12-Assumptions!$B$26),0)</f>
        <v>44254.4627186239</v>
      </c>
      <c r="J12" s="9" t="n">
        <f aca="false">IF(A12&gt;=Assumptions!$B$27,Assumptions!$B$16,0)</f>
        <v>17185</v>
      </c>
      <c r="K12" s="9" t="n">
        <f aca="false">IF(A12&gt;=Assumptions!$B$27,Assumptions!$B$18,0)</f>
        <v>8917</v>
      </c>
      <c r="L12" s="9" t="n">
        <f aca="false">MIN(AA12,IF(C12&lt;71,0,VLOOKUP(MIN(C12,95),Assumptions!$E$37:$F$61,2,TRUE()))*AA12)</f>
        <v>0</v>
      </c>
      <c r="M12" s="9" t="n">
        <f aca="false">I12+J12+K12+L12</f>
        <v>70356.4627186239</v>
      </c>
      <c r="N12" s="9" t="n">
        <f aca="false">D12+G12</f>
        <v>69842.7920336196</v>
      </c>
      <c r="O12" s="9" t="n">
        <f aca="false">MIN(0.5*N12,MAX(0,(H12-M12)/2))</f>
        <v>17046.6646574979</v>
      </c>
      <c r="P12" s="9" t="n">
        <f aca="false">H12-O12</f>
        <v>87403.1273761217</v>
      </c>
      <c r="Q12" s="9" t="n">
        <f aca="false">M12+O12</f>
        <v>87403.1273761217</v>
      </c>
      <c r="R12" s="9" t="n">
        <f aca="false">SUMPRODUCT(Assumptions!$B$36:$B$42,(P12-Assumptions!$A$36:$A$42)*((P12-Assumptions!$A$36:$A$42)&gt;0))</f>
        <v>17472.3288497171</v>
      </c>
      <c r="S12" s="9" t="n">
        <f aca="false">SUMPRODUCT(Assumptions!$B$36:$B$42,(Q12-Assumptions!$A$36:$A$42)*((Q12-Assumptions!$A$36:$A$42)&gt;0))</f>
        <v>17472.3288497171</v>
      </c>
      <c r="T12" s="9" t="n">
        <f aca="false">IF(B12&gt;=65,MIN(F12,Assumptions!$B$9*MAX(0,P12-Assumptions!$B$8)),0)</f>
        <v>0</v>
      </c>
      <c r="U12" s="9" t="n">
        <f aca="false">IF(C12&gt;=65,MIN(K12,Assumptions!$B$9*MAX(0,Q12-Assumptions!$B$8)),0)</f>
        <v>0</v>
      </c>
      <c r="V12" s="9" t="n">
        <f aca="false">H12+M12-R12-S12-T12-U12</f>
        <v>139861.597052809</v>
      </c>
      <c r="W12" s="9" t="n">
        <f aca="false">R12+S12+T12+U12</f>
        <v>34944.6576994343</v>
      </c>
      <c r="X12" s="9" t="n">
        <f aca="false">SUMPRODUCT(Assumptions!$B$36:$B$42,(H12-Assumptions!$A$36:$A$42)*((H12-Assumptions!$A$36:$A$42)&gt;0))+SUMPRODUCT(Assumptions!$B$36:$B$42,(M12-Assumptions!$A$36:$A$42)*((M12-Assumptions!$A$36:$A$42)&gt;0))+IF(B12&gt;=65,MIN(F12,Assumptions!$B$9*MAX(0,H12-Assumptions!$B$8)),0)+IF(C12&gt;=65,MIN(K12,Assumptions!$B$9*MAX(0,M12-Assumptions!$B$8)),0)</f>
        <v>36313.6765044772</v>
      </c>
      <c r="Y12" s="10" t="n">
        <f aca="false">X12-W12</f>
        <v>1369.01880504294</v>
      </c>
      <c r="Z12" s="11" t="n">
        <f aca="false">(Z11-G11)*(1+Assumptions!$B$7)</f>
        <v>124851.258894747</v>
      </c>
      <c r="AA12" s="11" t="n">
        <f aca="false">(AA11-L11)*(1+Assumptions!$B$7)</f>
        <v>380664.314449223</v>
      </c>
    </row>
    <row r="13" customFormat="false" ht="15" hidden="false" customHeight="false" outlineLevel="0" collapsed="false">
      <c r="A13" s="8" t="n">
        <v>2038</v>
      </c>
      <c r="B13" s="8" t="n">
        <f aca="false">A13-Assumptions!$B$29</f>
        <v>73</v>
      </c>
      <c r="C13" s="8" t="n">
        <f aca="false">A13-Assumptions!$B$30</f>
        <v>70</v>
      </c>
      <c r="D13" s="9" t="n">
        <f aca="false">IF(A13&gt;=Assumptions!$B$23,Assumptions!$B$13*(1+Assumptions!$B$6)^(A13-Assumptions!$B$23),0)</f>
        <v>62469.8158127702</v>
      </c>
      <c r="E13" s="9" t="n">
        <f aca="false">IF(A13&gt;=Assumptions!$B$24,Assumptions!$B$15,0)</f>
        <v>25690</v>
      </c>
      <c r="F13" s="9" t="n">
        <f aca="false">IF(A13&gt;=Assumptions!$B$23,Assumptions!$B$17,0)</f>
        <v>8917</v>
      </c>
      <c r="G13" s="9" t="n">
        <f aca="false">MIN(Z13,MAX(IF(AND(A13&gt;=2030,A13&lt;=2034),Assumptions!$B$32,0),IF(B13&lt;71,0,VLOOKUP(MIN(B13,95),Assumptions!$E$37:$F$61,2,TRUE()))*Z13))</f>
        <v>6727.38710119508</v>
      </c>
      <c r="H13" s="9" t="n">
        <f aca="false">D13+E13+F13+G13</f>
        <v>103804.202913965</v>
      </c>
      <c r="I13" s="9" t="n">
        <f aca="false">IF(A13&gt;=Assumptions!$B$26,Assumptions!$B$14*(1+Assumptions!$B$6)^(A13-Assumptions!$B$26),0)</f>
        <v>43811.9180914376</v>
      </c>
      <c r="J13" s="9" t="n">
        <f aca="false">IF(A13&gt;=Assumptions!$B$27,Assumptions!$B$16,0)</f>
        <v>17185</v>
      </c>
      <c r="K13" s="9" t="n">
        <f aca="false">IF(A13&gt;=Assumptions!$B$27,Assumptions!$B$18,0)</f>
        <v>8917</v>
      </c>
      <c r="L13" s="9" t="n">
        <f aca="false">MIN(AA13,IF(C13&lt;71,0,VLOOKUP(MIN(C13,95),Assumptions!$E$37:$F$61,2,TRUE()))*AA13)</f>
        <v>0</v>
      </c>
      <c r="M13" s="9" t="n">
        <f aca="false">I13+J13+K13+L13</f>
        <v>69913.9180914376</v>
      </c>
      <c r="N13" s="9" t="n">
        <f aca="false">D13+G13</f>
        <v>69197.2029139653</v>
      </c>
      <c r="O13" s="9" t="n">
        <f aca="false">MIN(0.5*N13,MAX(0,(H13-M13)/2))</f>
        <v>16945.1424112638</v>
      </c>
      <c r="P13" s="9" t="n">
        <f aca="false">H13-O13</f>
        <v>86859.0605027015</v>
      </c>
      <c r="Q13" s="9" t="n">
        <f aca="false">M13+O13</f>
        <v>86859.0605027015</v>
      </c>
      <c r="R13" s="9" t="n">
        <f aca="false">SUMPRODUCT(Assumptions!$B$36:$B$42,(P13-Assumptions!$A$36:$A$42)*((P13-Assumptions!$A$36:$A$42)&gt;0))</f>
        <v>17306.3884533239</v>
      </c>
      <c r="S13" s="9" t="n">
        <f aca="false">SUMPRODUCT(Assumptions!$B$36:$B$42,(Q13-Assumptions!$A$36:$A$42)*((Q13-Assumptions!$A$36:$A$42)&gt;0))</f>
        <v>17306.3884533239</v>
      </c>
      <c r="T13" s="9" t="n">
        <f aca="false">IF(B13&gt;=65,MIN(F13,Assumptions!$B$9*MAX(0,P13-Assumptions!$B$8)),0)</f>
        <v>0</v>
      </c>
      <c r="U13" s="9" t="n">
        <f aca="false">IF(C13&gt;=65,MIN(K13,Assumptions!$B$9*MAX(0,Q13-Assumptions!$B$8)),0)</f>
        <v>0</v>
      </c>
      <c r="V13" s="9" t="n">
        <f aca="false">H13+M13-R13-S13-T13-U13</f>
        <v>139105.344098755</v>
      </c>
      <c r="W13" s="9" t="n">
        <f aca="false">R13+S13+T13+U13</f>
        <v>34612.7769066479</v>
      </c>
      <c r="X13" s="9" t="n">
        <f aca="false">SUMPRODUCT(Assumptions!$B$36:$B$42,(H13-Assumptions!$A$36:$A$42)*((H13-Assumptions!$A$36:$A$42)&gt;0))+SUMPRODUCT(Assumptions!$B$36:$B$42,(M13-Assumptions!$A$36:$A$42)*((M13-Assumptions!$A$36:$A$42)&gt;0))+IF(B13&gt;=65,MIN(F13,Assumptions!$B$9*MAX(0,H13-Assumptions!$B$8)),0)+IF(C13&gt;=65,MIN(K13,Assumptions!$B$9*MAX(0,M13-Assumptions!$B$8)),0)</f>
        <v>35884.9573437427</v>
      </c>
      <c r="Y13" s="10" t="n">
        <f aca="false">X13-W13</f>
        <v>1272.18043709479</v>
      </c>
      <c r="Z13" s="11" t="n">
        <f aca="false">(Z12-G12)*(1+Assumptions!$B$7)</f>
        <v>121652.569641864</v>
      </c>
      <c r="AA13" s="11" t="n">
        <f aca="false">(AA12-L12)*(1+Assumptions!$B$7)</f>
        <v>392084.243882699</v>
      </c>
    </row>
    <row r="14" customFormat="false" ht="15" hidden="false" customHeight="false" outlineLevel="0" collapsed="false">
      <c r="A14" s="8" t="n">
        <v>2039</v>
      </c>
      <c r="B14" s="8" t="n">
        <f aca="false">A14-Assumptions!$B$29</f>
        <v>74</v>
      </c>
      <c r="C14" s="8" t="n">
        <f aca="false">A14-Assumptions!$B$30</f>
        <v>71</v>
      </c>
      <c r="D14" s="9" t="n">
        <f aca="false">IF(A14&gt;=Assumptions!$B$23,Assumptions!$B$13*(1+Assumptions!$B$6)^(A14-Assumptions!$B$23),0)</f>
        <v>61845.1176546425</v>
      </c>
      <c r="E14" s="9" t="n">
        <f aca="false">IF(A14&gt;=Assumptions!$B$24,Assumptions!$B$15,0)</f>
        <v>25690</v>
      </c>
      <c r="F14" s="9" t="n">
        <f aca="false">IF(A14&gt;=Assumptions!$B$23,Assumptions!$B$17,0)</f>
        <v>8917</v>
      </c>
      <c r="G14" s="9" t="n">
        <f aca="false">MIN(Z14,MAX(IF(AND(A14&gt;=2030,A14&lt;=2034),Assumptions!$B$32,0),IF(B14&lt;71,0,VLOOKUP(MIN(B14,95),Assumptions!$E$37:$F$61,2,TRUE()))*Z14))</f>
        <v>6711.7455855576</v>
      </c>
      <c r="H14" s="9" t="n">
        <f aca="false">D14+E14+F14+G14</f>
        <v>103163.8632402</v>
      </c>
      <c r="I14" s="9" t="n">
        <f aca="false">IF(A14&gt;=Assumptions!$B$26,Assumptions!$B$14*(1+Assumptions!$B$6)^(A14-Assumptions!$B$26),0)</f>
        <v>43373.7989105233</v>
      </c>
      <c r="J14" s="9" t="n">
        <f aca="false">IF(A14&gt;=Assumptions!$B$27,Assumptions!$B$16,0)</f>
        <v>17185</v>
      </c>
      <c r="K14" s="9" t="n">
        <f aca="false">IF(A14&gt;=Assumptions!$B$27,Assumptions!$B$18,0)</f>
        <v>8917</v>
      </c>
      <c r="L14" s="9" t="n">
        <f aca="false">MIN(AA14,IF(C14&lt;71,0,VLOOKUP(MIN(C14,95),Assumptions!$E$37:$F$61,2,TRUE()))*AA14)</f>
        <v>21323.1095193167</v>
      </c>
      <c r="M14" s="9" t="n">
        <f aca="false">I14+J14+K14+L14</f>
        <v>90798.90842984</v>
      </c>
      <c r="N14" s="9" t="n">
        <f aca="false">D14+G14</f>
        <v>68556.8632402001</v>
      </c>
      <c r="O14" s="9" t="n">
        <f aca="false">MIN(0.5*N14,MAX(0,(H14-M14)/2))</f>
        <v>6182.47740518004</v>
      </c>
      <c r="P14" s="9" t="n">
        <f aca="false">H14-O14</f>
        <v>96981.3858350201</v>
      </c>
      <c r="Q14" s="9" t="n">
        <f aca="false">M14+O14</f>
        <v>96981.3858350201</v>
      </c>
      <c r="R14" s="9" t="n">
        <f aca="false">SUMPRODUCT(Assumptions!$B$36:$B$42,(P14-Assumptions!$A$36:$A$42)*((P14-Assumptions!$A$36:$A$42)&gt;0))</f>
        <v>20393.6976796811</v>
      </c>
      <c r="S14" s="9" t="n">
        <f aca="false">SUMPRODUCT(Assumptions!$B$36:$B$42,(Q14-Assumptions!$A$36:$A$42)*((Q14-Assumptions!$A$36:$A$42)&gt;0))</f>
        <v>20393.6976796811</v>
      </c>
      <c r="T14" s="9" t="n">
        <f aca="false">IF(B14&gt;=65,MIN(F14,Assumptions!$B$9*MAX(0,P14-Assumptions!$B$8)),0)</f>
        <v>248.757875253007</v>
      </c>
      <c r="U14" s="9" t="n">
        <f aca="false">IF(C14&gt;=65,MIN(K14,Assumptions!$B$9*MAX(0,Q14-Assumptions!$B$8)),0)</f>
        <v>248.757875253007</v>
      </c>
      <c r="V14" s="9" t="n">
        <f aca="false">H14+M14-R14-S14-T14-U14</f>
        <v>152677.860560172</v>
      </c>
      <c r="W14" s="9" t="n">
        <f aca="false">R14+S14+T14+U14</f>
        <v>41284.9111098683</v>
      </c>
      <c r="X14" s="9" t="n">
        <f aca="false">SUMPRODUCT(Assumptions!$B$36:$B$42,(H14-Assumptions!$A$36:$A$42)*((H14-Assumptions!$A$36:$A$42)&gt;0))+SUMPRODUCT(Assumptions!$B$36:$B$42,(M14-Assumptions!$A$36:$A$42)*((M14-Assumptions!$A$36:$A$42)&gt;0))+IF(B14&gt;=65,MIN(F14,Assumptions!$B$9*MAX(0,H14-Assumptions!$B$8)),0)+IF(C14&gt;=65,MIN(K14,Assumptions!$B$9*MAX(0,M14-Assumptions!$B$8)),0)</f>
        <v>41963.5248453922</v>
      </c>
      <c r="Y14" s="10" t="n">
        <f aca="false">X14-W14</f>
        <v>678.613735523992</v>
      </c>
      <c r="Z14" s="11" t="n">
        <f aca="false">(Z13-G13)*(1+Assumptions!$B$7)</f>
        <v>118372.938016889</v>
      </c>
      <c r="AA14" s="11" t="n">
        <f aca="false">(AA13-L13)*(1+Assumptions!$B$7)</f>
        <v>403846.77119918</v>
      </c>
    </row>
    <row r="15" customFormat="false" ht="15" hidden="false" customHeight="false" outlineLevel="0" collapsed="false">
      <c r="A15" s="8" t="n">
        <v>2040</v>
      </c>
      <c r="B15" s="8" t="n">
        <f aca="false">A15-Assumptions!$B$29</f>
        <v>75</v>
      </c>
      <c r="C15" s="8" t="n">
        <f aca="false">A15-Assumptions!$B$30</f>
        <v>72</v>
      </c>
      <c r="D15" s="9" t="n">
        <f aca="false">IF(A15&gt;=Assumptions!$B$23,Assumptions!$B$13*(1+Assumptions!$B$6)^(A15-Assumptions!$B$23),0)</f>
        <v>61226.6664780961</v>
      </c>
      <c r="E15" s="9" t="n">
        <f aca="false">IF(A15&gt;=Assumptions!$B$24,Assumptions!$B$15,0)</f>
        <v>25690</v>
      </c>
      <c r="F15" s="9" t="n">
        <f aca="false">IF(A15&gt;=Assumptions!$B$23,Assumptions!$B$17,0)</f>
        <v>8917</v>
      </c>
      <c r="G15" s="9" t="n">
        <f aca="false">MIN(Z15,MAX(IF(AND(A15&gt;=2030,A15&lt;=2034),Assumptions!$B$32,0),IF(B15&lt;71,0,VLOOKUP(MIN(B15,95),Assumptions!$E$37:$F$61,2,TRUE()))*Z15))</f>
        <v>6693.64184148859</v>
      </c>
      <c r="H15" s="9" t="n">
        <f aca="false">D15+E15+F15+G15</f>
        <v>102527.308319585</v>
      </c>
      <c r="I15" s="9" t="n">
        <f aca="false">IF(A15&gt;=Assumptions!$B$26,Assumptions!$B$14*(1+Assumptions!$B$6)^(A15-Assumptions!$B$26),0)</f>
        <v>42940.060921418</v>
      </c>
      <c r="J15" s="9" t="n">
        <f aca="false">IF(A15&gt;=Assumptions!$B$27,Assumptions!$B$16,0)</f>
        <v>17185</v>
      </c>
      <c r="K15" s="9" t="n">
        <f aca="false">IF(A15&gt;=Assumptions!$B$27,Assumptions!$B$18,0)</f>
        <v>8917</v>
      </c>
      <c r="L15" s="9" t="n">
        <f aca="false">MIN(AA15,IF(C15&lt;71,0,VLOOKUP(MIN(C15,95),Assumptions!$E$37:$F$61,2,TRUE()))*AA15)</f>
        <v>21275.966062634</v>
      </c>
      <c r="M15" s="9" t="n">
        <f aca="false">I15+J15+K15+L15</f>
        <v>90318.0269840521</v>
      </c>
      <c r="N15" s="9" t="n">
        <f aca="false">D15+G15</f>
        <v>67920.3083195846</v>
      </c>
      <c r="O15" s="9" t="n">
        <f aca="false">MIN(0.5*N15,MAX(0,(H15-M15)/2))</f>
        <v>6104.64066776629</v>
      </c>
      <c r="P15" s="9" t="n">
        <f aca="false">H15-O15</f>
        <v>96422.6676518184</v>
      </c>
      <c r="Q15" s="9" t="n">
        <f aca="false">M15+O15</f>
        <v>96422.6676518184</v>
      </c>
      <c r="R15" s="9" t="n">
        <f aca="false">SUMPRODUCT(Assumptions!$B$36:$B$42,(P15-Assumptions!$A$36:$A$42)*((P15-Assumptions!$A$36:$A$42)&gt;0))</f>
        <v>20223.2886338046</v>
      </c>
      <c r="S15" s="9" t="n">
        <f aca="false">SUMPRODUCT(Assumptions!$B$36:$B$42,(Q15-Assumptions!$A$36:$A$42)*((Q15-Assumptions!$A$36:$A$42)&gt;0))</f>
        <v>20223.2886338046</v>
      </c>
      <c r="T15" s="9" t="n">
        <f aca="false">IF(B15&gt;=65,MIN(F15,Assumptions!$B$9*MAX(0,P15-Assumptions!$B$8)),0)</f>
        <v>164.950147772753</v>
      </c>
      <c r="U15" s="9" t="n">
        <f aca="false">IF(C15&gt;=65,MIN(K15,Assumptions!$B$9*MAX(0,Q15-Assumptions!$B$8)),0)</f>
        <v>164.950147772753</v>
      </c>
      <c r="V15" s="9" t="n">
        <f aca="false">H15+M15-R15-S15-T15-U15</f>
        <v>152068.857740482</v>
      </c>
      <c r="W15" s="9" t="n">
        <f aca="false">R15+S15+T15+U15</f>
        <v>40776.4775631547</v>
      </c>
      <c r="X15" s="9" t="n">
        <f aca="false">SUMPRODUCT(Assumptions!$B$36:$B$42,(H15-Assumptions!$A$36:$A$42)*((H15-Assumptions!$A$36:$A$42)&gt;0))+SUMPRODUCT(Assumptions!$B$36:$B$42,(M15-Assumptions!$A$36:$A$42)*((M15-Assumptions!$A$36:$A$42)&gt;0))+IF(B15&gt;=65,MIN(F15,Assumptions!$B$9*MAX(0,H15-Assumptions!$B$8)),0)+IF(C15&gt;=65,MIN(K15,Assumptions!$B$9*MAX(0,M15-Assumptions!$B$8)),0)</f>
        <v>41527.2235155469</v>
      </c>
      <c r="Y15" s="10" t="n">
        <f aca="false">X15-W15</f>
        <v>750.745952392193</v>
      </c>
      <c r="Z15" s="11" t="n">
        <f aca="false">(Z14-G14)*(1+Assumptions!$B$7)</f>
        <v>115011.028204271</v>
      </c>
      <c r="AA15" s="11" t="n">
        <f aca="false">(AA14-L14)*(1+Assumptions!$B$7)</f>
        <v>393999.37153026</v>
      </c>
    </row>
    <row r="16" customFormat="false" ht="15" hidden="false" customHeight="false" outlineLevel="0" collapsed="false">
      <c r="A16" s="8" t="n">
        <v>2041</v>
      </c>
      <c r="B16" s="8" t="n">
        <f aca="false">A16-Assumptions!$B$29</f>
        <v>76</v>
      </c>
      <c r="C16" s="8" t="n">
        <f aca="false">A16-Assumptions!$B$30</f>
        <v>73</v>
      </c>
      <c r="D16" s="9" t="n">
        <f aca="false">IF(A16&gt;=Assumptions!$B$23,Assumptions!$B$13*(1+Assumptions!$B$6)^(A16-Assumptions!$B$23),0)</f>
        <v>60614.3998133151</v>
      </c>
      <c r="E16" s="9" t="n">
        <f aca="false">IF(A16&gt;=Assumptions!$B$24,Assumptions!$B$15,0)</f>
        <v>25690</v>
      </c>
      <c r="F16" s="9" t="n">
        <f aca="false">IF(A16&gt;=Assumptions!$B$23,Assumptions!$B$17,0)</f>
        <v>8917</v>
      </c>
      <c r="G16" s="9" t="n">
        <f aca="false">MIN(Z16,MAX(IF(AND(A16&gt;=2030,A16&lt;=2034),Assumptions!$B$32,0),IF(B16&lt;71,0,VLOOKUP(MIN(B16,95),Assumptions!$E$37:$F$61,2,TRUE()))*Z16))</f>
        <v>6671.70109562924</v>
      </c>
      <c r="H16" s="9" t="n">
        <f aca="false">D16+E16+F16+G16</f>
        <v>101893.100908944</v>
      </c>
      <c r="I16" s="9" t="n">
        <f aca="false">IF(A16&gt;=Assumptions!$B$26,Assumptions!$B$14*(1+Assumptions!$B$6)^(A16-Assumptions!$B$26),0)</f>
        <v>42510.6603122039</v>
      </c>
      <c r="J16" s="9" t="n">
        <f aca="false">IF(A16&gt;=Assumptions!$B$27,Assumptions!$B$16,0)</f>
        <v>17185</v>
      </c>
      <c r="K16" s="9" t="n">
        <f aca="false">IF(A16&gt;=Assumptions!$B$27,Assumptions!$B$18,0)</f>
        <v>8917</v>
      </c>
      <c r="L16" s="9" t="n">
        <f aca="false">MIN(AA16,IF(C16&lt;71,0,VLOOKUP(MIN(C16,95),Assumptions!$E$37:$F$61,2,TRUE()))*AA16)</f>
        <v>21229.9524520305</v>
      </c>
      <c r="M16" s="9" t="n">
        <f aca="false">I16+J16+K16+L16</f>
        <v>89842.6127642343</v>
      </c>
      <c r="N16" s="9" t="n">
        <f aca="false">D16+G16</f>
        <v>67286.1009089443</v>
      </c>
      <c r="O16" s="9" t="n">
        <f aca="false">MIN(0.5*N16,MAX(0,(H16-M16)/2))</f>
        <v>6025.244072355</v>
      </c>
      <c r="P16" s="9" t="n">
        <f aca="false">H16-O16</f>
        <v>95867.8568365893</v>
      </c>
      <c r="Q16" s="9" t="n">
        <f aca="false">M16+O16</f>
        <v>95867.8568365893</v>
      </c>
      <c r="R16" s="9" t="n">
        <f aca="false">SUMPRODUCT(Assumptions!$B$36:$B$42,(P16-Assumptions!$A$36:$A$42)*((P16-Assumptions!$A$36:$A$42)&gt;0))</f>
        <v>20054.0713351598</v>
      </c>
      <c r="S16" s="9" t="n">
        <f aca="false">SUMPRODUCT(Assumptions!$B$36:$B$42,(Q16-Assumptions!$A$36:$A$42)*((Q16-Assumptions!$A$36:$A$42)&gt;0))</f>
        <v>20054.0713351598</v>
      </c>
      <c r="T16" s="9" t="n">
        <f aca="false">IF(B16&gt;=65,MIN(F16,Assumptions!$B$9*MAX(0,P16-Assumptions!$B$8)),0)</f>
        <v>81.7285254884016</v>
      </c>
      <c r="U16" s="9" t="n">
        <f aca="false">IF(C16&gt;=65,MIN(K16,Assumptions!$B$9*MAX(0,Q16-Assumptions!$B$8)),0)</f>
        <v>81.7285254884016</v>
      </c>
      <c r="V16" s="9" t="n">
        <f aca="false">H16+M16-R16-S16-T16-U16</f>
        <v>151464.113951882</v>
      </c>
      <c r="W16" s="9" t="n">
        <f aca="false">R16+S16+T16+U16</f>
        <v>40271.5997212963</v>
      </c>
      <c r="X16" s="9" t="n">
        <f aca="false">SUMPRODUCT(Assumptions!$B$36:$B$42,(H16-Assumptions!$A$36:$A$42)*((H16-Assumptions!$A$36:$A$42)&gt;0))+SUMPRODUCT(Assumptions!$B$36:$B$42,(M16-Assumptions!$A$36:$A$42)*((M16-Assumptions!$A$36:$A$42)&gt;0))+IF(B16&gt;=65,MIN(F16,Assumptions!$B$9*MAX(0,H16-Assumptions!$B$8)),0)+IF(C16&gt;=65,MIN(K16,Assumptions!$B$9*MAX(0,M16-Assumptions!$B$8)),0)</f>
        <v>41093.6578066612</v>
      </c>
      <c r="Y16" s="10" t="n">
        <f aca="false">X16-W16</f>
        <v>822.058085364835</v>
      </c>
      <c r="Z16" s="11" t="n">
        <f aca="false">(Z15-G15)*(1+Assumptions!$B$7)</f>
        <v>111566.907953666</v>
      </c>
      <c r="AA16" s="11" t="n">
        <f aca="false">(AA15-L15)*(1+Assumptions!$B$7)</f>
        <v>383905.107631654</v>
      </c>
    </row>
    <row r="17" customFormat="false" ht="15" hidden="false" customHeight="false" outlineLevel="0" collapsed="false">
      <c r="A17" s="8" t="n">
        <v>2042</v>
      </c>
      <c r="B17" s="8" t="n">
        <f aca="false">A17-Assumptions!$B$29</f>
        <v>77</v>
      </c>
      <c r="C17" s="8" t="n">
        <f aca="false">A17-Assumptions!$B$30</f>
        <v>74</v>
      </c>
      <c r="D17" s="9" t="n">
        <f aca="false">IF(A17&gt;=Assumptions!$B$23,Assumptions!$B$13*(1+Assumptions!$B$6)^(A17-Assumptions!$B$23),0)</f>
        <v>60008.255815182</v>
      </c>
      <c r="E17" s="9" t="n">
        <f aca="false">IF(A17&gt;=Assumptions!$B$24,Assumptions!$B$15,0)</f>
        <v>25690</v>
      </c>
      <c r="F17" s="9" t="n">
        <f aca="false">IF(A17&gt;=Assumptions!$B$23,Assumptions!$B$17,0)</f>
        <v>8917</v>
      </c>
      <c r="G17" s="9" t="n">
        <f aca="false">MIN(Z17,MAX(IF(AND(A17&gt;=2030,A17&lt;=2034),Assumptions!$B$32,0),IF(B17&lt;71,0,VLOOKUP(MIN(B17,95),Assumptions!$E$37:$F$61,2,TRUE()))*Z17))</f>
        <v>6666.19529103511</v>
      </c>
      <c r="H17" s="9" t="n">
        <f aca="false">D17+E17+F17+G17</f>
        <v>101281.451106217</v>
      </c>
      <c r="I17" s="9" t="n">
        <f aca="false">IF(A17&gt;=Assumptions!$B$26,Assumptions!$B$14*(1+Assumptions!$B$6)^(A17-Assumptions!$B$26),0)</f>
        <v>42085.5537090818</v>
      </c>
      <c r="J17" s="9" t="n">
        <f aca="false">IF(A17&gt;=Assumptions!$B$27,Assumptions!$B$16,0)</f>
        <v>17185</v>
      </c>
      <c r="K17" s="9" t="n">
        <f aca="false">IF(A17&gt;=Assumptions!$B$27,Assumptions!$B$18,0)</f>
        <v>8917</v>
      </c>
      <c r="L17" s="9" t="n">
        <f aca="false">MIN(AA17,IF(C17&lt;71,0,VLOOKUP(MIN(C17,95),Assumptions!$E$37:$F$61,2,TRUE()))*AA17)</f>
        <v>21180.5917376452</v>
      </c>
      <c r="M17" s="9" t="n">
        <f aca="false">I17+J17+K17+L17</f>
        <v>89368.145446727</v>
      </c>
      <c r="N17" s="9" t="n">
        <f aca="false">D17+G17</f>
        <v>66674.4511062171</v>
      </c>
      <c r="O17" s="9" t="n">
        <f aca="false">MIN(0.5*N17,MAX(0,(H17-M17)/2))</f>
        <v>5956.65282974501</v>
      </c>
      <c r="P17" s="9" t="n">
        <f aca="false">H17-O17</f>
        <v>95324.798276472</v>
      </c>
      <c r="Q17" s="9" t="n">
        <f aca="false">M17+O17</f>
        <v>95324.798276472</v>
      </c>
      <c r="R17" s="9" t="n">
        <f aca="false">SUMPRODUCT(Assumptions!$B$36:$B$42,(P17-Assumptions!$A$36:$A$42)*((P17-Assumptions!$A$36:$A$42)&gt;0))</f>
        <v>19888.438474324</v>
      </c>
      <c r="S17" s="9" t="n">
        <f aca="false">SUMPRODUCT(Assumptions!$B$36:$B$42,(Q17-Assumptions!$A$36:$A$42)*((Q17-Assumptions!$A$36:$A$42)&gt;0))</f>
        <v>19888.438474324</v>
      </c>
      <c r="T17" s="9" t="n">
        <f aca="false">IF(B17&gt;=65,MIN(F17,Assumptions!$B$9*MAX(0,P17-Assumptions!$B$8)),0)</f>
        <v>0.269741470805457</v>
      </c>
      <c r="U17" s="9" t="n">
        <f aca="false">IF(C17&gt;=65,MIN(K17,Assumptions!$B$9*MAX(0,Q17-Assumptions!$B$8)),0)</f>
        <v>0.269741470805457</v>
      </c>
      <c r="V17" s="9" t="n">
        <f aca="false">H17+M17-R17-S17-T17-U17</f>
        <v>150872.180121355</v>
      </c>
      <c r="W17" s="9" t="n">
        <f aca="false">R17+S17+T17+U17</f>
        <v>39777.4164315896</v>
      </c>
      <c r="X17" s="9" t="n">
        <f aca="false">SUMPRODUCT(Assumptions!$B$36:$B$42,(H17-Assumptions!$A$36:$A$42)*((H17-Assumptions!$A$36:$A$42)&gt;0))+SUMPRODUCT(Assumptions!$B$36:$B$42,(M17-Assumptions!$A$36:$A$42)*((M17-Assumptions!$A$36:$A$42)&gt;0))+IF(B17&gt;=65,MIN(F17,Assumptions!$B$9*MAX(0,H17-Assumptions!$B$8)),0)+IF(C17&gt;=65,MIN(K17,Assumptions!$B$9*MAX(0,M17-Assumptions!$B$8)),0)</f>
        <v>40670.6446145805</v>
      </c>
      <c r="Y17" s="10" t="n">
        <f aca="false">X17-W17</f>
        <v>893.228182990941</v>
      </c>
      <c r="Z17" s="11" t="n">
        <f aca="false">(Z16-G16)*(1+Assumptions!$B$7)</f>
        <v>108042.063063778</v>
      </c>
      <c r="AA17" s="11" t="n">
        <f aca="false">(AA16-L16)*(1+Assumptions!$B$7)</f>
        <v>373555.409835012</v>
      </c>
    </row>
    <row r="18" customFormat="false" ht="15" hidden="false" customHeight="false" outlineLevel="0" collapsed="false">
      <c r="A18" s="8" t="n">
        <v>2043</v>
      </c>
      <c r="B18" s="8" t="n">
        <f aca="false">A18-Assumptions!$B$29</f>
        <v>78</v>
      </c>
      <c r="C18" s="8" t="n">
        <f aca="false">A18-Assumptions!$B$30</f>
        <v>75</v>
      </c>
      <c r="D18" s="9" t="n">
        <f aca="false">IF(A18&gt;=Assumptions!$B$23,Assumptions!$B$13*(1+Assumptions!$B$6)^(A18-Assumptions!$B$23),0)</f>
        <v>59408.1732570301</v>
      </c>
      <c r="E18" s="9" t="n">
        <f aca="false">IF(A18&gt;=Assumptions!$B$24,Assumptions!$B$15,0)</f>
        <v>25690</v>
      </c>
      <c r="F18" s="9" t="n">
        <f aca="false">IF(A18&gt;=Assumptions!$B$23,Assumptions!$B$17,0)</f>
        <v>8917</v>
      </c>
      <c r="G18" s="9" t="n">
        <f aca="false">MIN(Z18,MAX(IF(AND(A18&gt;=2030,A18&lt;=2034),Assumptions!$B$32,0),IF(B18&lt;71,0,VLOOKUP(MIN(B18,95),Assumptions!$E$37:$F$61,2,TRUE()))*Z18))</f>
        <v>6640.93034605685</v>
      </c>
      <c r="H18" s="9" t="n">
        <f aca="false">D18+E18+F18+G18</f>
        <v>100656.103603087</v>
      </c>
      <c r="I18" s="9" t="n">
        <f aca="false">IF(A18&gt;=Assumptions!$B$26,Assumptions!$B$14*(1+Assumptions!$B$6)^(A18-Assumptions!$B$26),0)</f>
        <v>41664.698171991</v>
      </c>
      <c r="J18" s="9" t="n">
        <f aca="false">IF(A18&gt;=Assumptions!$B$27,Assumptions!$B$16,0)</f>
        <v>17185</v>
      </c>
      <c r="K18" s="9" t="n">
        <f aca="false">IF(A18&gt;=Assumptions!$B$27,Assumptions!$B$18,0)</f>
        <v>8917</v>
      </c>
      <c r="L18" s="9" t="n">
        <f aca="false">MIN(AA18,IF(C18&lt;71,0,VLOOKUP(MIN(C18,95),Assumptions!$E$37:$F$61,2,TRUE()))*AA18)</f>
        <v>21123.4608456648</v>
      </c>
      <c r="M18" s="9" t="n">
        <f aca="false">I18+J18+K18+L18</f>
        <v>88890.1590176558</v>
      </c>
      <c r="N18" s="9" t="n">
        <f aca="false">D18+G18</f>
        <v>66049.103603087</v>
      </c>
      <c r="O18" s="9" t="n">
        <f aca="false">MIN(0.5*N18,MAX(0,(H18-M18)/2))</f>
        <v>5882.9722927156</v>
      </c>
      <c r="P18" s="9" t="n">
        <f aca="false">H18-O18</f>
        <v>94773.1313103714</v>
      </c>
      <c r="Q18" s="9" t="n">
        <f aca="false">M18+O18</f>
        <v>94773.1313103714</v>
      </c>
      <c r="R18" s="9" t="n">
        <f aca="false">SUMPRODUCT(Assumptions!$B$36:$B$42,(P18-Assumptions!$A$36:$A$42)*((P18-Assumptions!$A$36:$A$42)&gt;0))</f>
        <v>19720.1800496633</v>
      </c>
      <c r="S18" s="9" t="n">
        <f aca="false">SUMPRODUCT(Assumptions!$B$36:$B$42,(Q18-Assumptions!$A$36:$A$42)*((Q18-Assumptions!$A$36:$A$42)&gt;0))</f>
        <v>19720.1800496633</v>
      </c>
      <c r="T18" s="9" t="n">
        <f aca="false">IF(B18&gt;=65,MIN(F18,Assumptions!$B$9*MAX(0,P18-Assumptions!$B$8)),0)</f>
        <v>0</v>
      </c>
      <c r="U18" s="9" t="n">
        <f aca="false">IF(C18&gt;=65,MIN(K18,Assumptions!$B$9*MAX(0,Q18-Assumptions!$B$8)),0)</f>
        <v>0</v>
      </c>
      <c r="V18" s="9" t="n">
        <f aca="false">H18+M18-R18-S18-T18-U18</f>
        <v>150105.902521416</v>
      </c>
      <c r="W18" s="9" t="n">
        <f aca="false">R18+S18+T18+U18</f>
        <v>39440.3600993265</v>
      </c>
      <c r="X18" s="9" t="n">
        <f aca="false">SUMPRODUCT(Assumptions!$B$36:$B$42,(H18-Assumptions!$A$36:$A$42)*((H18-Assumptions!$A$36:$A$42)&gt;0))+SUMPRODUCT(Assumptions!$B$36:$B$42,(M18-Assumptions!$A$36:$A$42)*((M18-Assumptions!$A$36:$A$42)&gt;0))+IF(B18&gt;=65,MIN(F18,Assumptions!$B$9*MAX(0,H18-Assumptions!$B$8)),0)+IF(C18&gt;=65,MIN(K18,Assumptions!$B$9*MAX(0,M18-Assumptions!$B$8)),0)</f>
        <v>40240.3256397896</v>
      </c>
      <c r="Y18" s="10" t="n">
        <f aca="false">X18-W18</f>
        <v>799.965540463054</v>
      </c>
      <c r="Z18" s="11" t="n">
        <f aca="false">(Z17-G17)*(1+Assumptions!$B$7)</f>
        <v>104417.143805925</v>
      </c>
      <c r="AA18" s="11" t="n">
        <f aca="false">(AA17-L17)*(1+Assumptions!$B$7)</f>
        <v>362946.062640288</v>
      </c>
    </row>
    <row r="19" customFormat="false" ht="15" hidden="false" customHeight="false" outlineLevel="0" collapsed="false">
      <c r="A19" s="8" t="n">
        <v>2044</v>
      </c>
      <c r="B19" s="8" t="n">
        <f aca="false">A19-Assumptions!$B$29</f>
        <v>79</v>
      </c>
      <c r="C19" s="8" t="n">
        <f aca="false">A19-Assumptions!$B$30</f>
        <v>76</v>
      </c>
      <c r="D19" s="9" t="n">
        <f aca="false">IF(A19&gt;=Assumptions!$B$23,Assumptions!$B$13*(1+Assumptions!$B$6)^(A19-Assumptions!$B$23),0)</f>
        <v>58814.0915244598</v>
      </c>
      <c r="E19" s="9" t="n">
        <f aca="false">IF(A19&gt;=Assumptions!$B$24,Assumptions!$B$15,0)</f>
        <v>25690</v>
      </c>
      <c r="F19" s="9" t="n">
        <f aca="false">IF(A19&gt;=Assumptions!$B$23,Assumptions!$B$17,0)</f>
        <v>8917</v>
      </c>
      <c r="G19" s="9" t="n">
        <f aca="false">MIN(Z19,MAX(IF(AND(A19&gt;=2030,A19&lt;=2034),Assumptions!$B$32,0),IF(B19&lt;71,0,VLOOKUP(MIN(B19,95),Assumptions!$E$37:$F$61,2,TRUE()))*Z19))</f>
        <v>6626.68509102912</v>
      </c>
      <c r="H19" s="9" t="n">
        <f aca="false">D19+E19+F19+G19</f>
        <v>100047.776615489</v>
      </c>
      <c r="I19" s="9" t="n">
        <f aca="false">IF(A19&gt;=Assumptions!$B$26,Assumptions!$B$14*(1+Assumptions!$B$6)^(A19-Assumptions!$B$26),0)</f>
        <v>41248.0511902711</v>
      </c>
      <c r="J19" s="9" t="n">
        <f aca="false">IF(A19&gt;=Assumptions!$B$27,Assumptions!$B$16,0)</f>
        <v>17185</v>
      </c>
      <c r="K19" s="9" t="n">
        <f aca="false">IF(A19&gt;=Assumptions!$B$27,Assumptions!$B$18,0)</f>
        <v>8917</v>
      </c>
      <c r="L19" s="9" t="n">
        <f aca="false">MIN(AA19,IF(C19&lt;71,0,VLOOKUP(MIN(C19,95),Assumptions!$E$37:$F$61,2,TRUE()))*AA19)</f>
        <v>21054.221334938</v>
      </c>
      <c r="M19" s="9" t="n">
        <f aca="false">I19+J19+K19+L19</f>
        <v>88404.2725252091</v>
      </c>
      <c r="N19" s="9" t="n">
        <f aca="false">D19+G19</f>
        <v>65440.776615489</v>
      </c>
      <c r="O19" s="9" t="n">
        <f aca="false">MIN(0.5*N19,MAX(0,(H19-M19)/2))</f>
        <v>5821.75204513992</v>
      </c>
      <c r="P19" s="9" t="n">
        <f aca="false">H19-O19</f>
        <v>94226.024570349</v>
      </c>
      <c r="Q19" s="9" t="n">
        <f aca="false">M19+O19</f>
        <v>94226.024570349</v>
      </c>
      <c r="R19" s="9" t="n">
        <f aca="false">SUMPRODUCT(Assumptions!$B$36:$B$42,(P19-Assumptions!$A$36:$A$42)*((P19-Assumptions!$A$36:$A$42)&gt;0))</f>
        <v>19553.3124939565</v>
      </c>
      <c r="S19" s="9" t="n">
        <f aca="false">SUMPRODUCT(Assumptions!$B$36:$B$42,(Q19-Assumptions!$A$36:$A$42)*((Q19-Assumptions!$A$36:$A$42)&gt;0))</f>
        <v>19553.3124939565</v>
      </c>
      <c r="T19" s="9" t="n">
        <f aca="false">IF(B19&gt;=65,MIN(F19,Assumptions!$B$9*MAX(0,P19-Assumptions!$B$8)),0)</f>
        <v>0</v>
      </c>
      <c r="U19" s="9" t="n">
        <f aca="false">IF(C19&gt;=65,MIN(K19,Assumptions!$B$9*MAX(0,Q19-Assumptions!$B$8)),0)</f>
        <v>0</v>
      </c>
      <c r="V19" s="9" t="n">
        <f aca="false">H19+M19-R19-S19-T19-U19</f>
        <v>149345.424152785</v>
      </c>
      <c r="W19" s="9" t="n">
        <f aca="false">R19+S19+T19+U19</f>
        <v>39106.6249879129</v>
      </c>
      <c r="X19" s="9" t="n">
        <f aca="false">SUMPRODUCT(Assumptions!$B$36:$B$42,(H19-Assumptions!$A$36:$A$42)*((H19-Assumptions!$A$36:$A$42)&gt;0))+SUMPRODUCT(Assumptions!$B$36:$B$42,(M19-Assumptions!$A$36:$A$42)*((M19-Assumptions!$A$36:$A$42)&gt;0))+IF(B19&gt;=65,MIN(F19,Assumptions!$B$9*MAX(0,H19-Assumptions!$B$8)),0)+IF(C19&gt;=65,MIN(K19,Assumptions!$B$9*MAX(0,M19-Assumptions!$B$8)),0)</f>
        <v>39815.3414802363</v>
      </c>
      <c r="Y19" s="10" t="n">
        <f aca="false">X19-W19</f>
        <v>708.716492323343</v>
      </c>
      <c r="Z19" s="11" t="n">
        <f aca="false">(Z18-G18)*(1+Assumptions!$B$7)</f>
        <v>100709.499863664</v>
      </c>
      <c r="AA19" s="11" t="n">
        <f aca="false">(AA18-L18)*(1+Assumptions!$B$7)</f>
        <v>352077.279848462</v>
      </c>
    </row>
    <row r="20" customFormat="false" ht="15" hidden="false" customHeight="false" outlineLevel="0" collapsed="false">
      <c r="A20" s="8" t="n">
        <v>2045</v>
      </c>
      <c r="B20" s="8" t="n">
        <f aca="false">A20-Assumptions!$B$29</f>
        <v>80</v>
      </c>
      <c r="C20" s="8" t="n">
        <f aca="false">A20-Assumptions!$B$30</f>
        <v>77</v>
      </c>
      <c r="D20" s="9" t="n">
        <f aca="false">IF(A20&gt;=Assumptions!$B$23,Assumptions!$B$13*(1+Assumptions!$B$6)^(A20-Assumptions!$B$23),0)</f>
        <v>58225.9506092152</v>
      </c>
      <c r="E20" s="9" t="n">
        <f aca="false">IF(A20&gt;=Assumptions!$B$24,Assumptions!$B$15,0)</f>
        <v>25690</v>
      </c>
      <c r="F20" s="9" t="n">
        <f aca="false">IF(A20&gt;=Assumptions!$B$23,Assumptions!$B$17,0)</f>
        <v>8917</v>
      </c>
      <c r="G20" s="9" t="n">
        <f aca="false">MIN(Z20,MAX(IF(AND(A20&gt;=2030,A20&lt;=2034),Assumptions!$B$32,0),IF(B20&lt;71,0,VLOOKUP(MIN(B20,95),Assumptions!$E$37:$F$61,2,TRUE()))*Z20))</f>
        <v>6608.94140651854</v>
      </c>
      <c r="H20" s="9" t="n">
        <f aca="false">D20+E20+F20+G20</f>
        <v>99441.8920157338</v>
      </c>
      <c r="I20" s="9" t="n">
        <f aca="false">IF(A20&gt;=Assumptions!$B$26,Assumptions!$B$14*(1+Assumptions!$B$6)^(A20-Assumptions!$B$26),0)</f>
        <v>40835.5706783684</v>
      </c>
      <c r="J20" s="9" t="n">
        <f aca="false">IF(A20&gt;=Assumptions!$B$27,Assumptions!$B$16,0)</f>
        <v>17185</v>
      </c>
      <c r="K20" s="9" t="n">
        <f aca="false">IF(A20&gt;=Assumptions!$B$27,Assumptions!$B$18,0)</f>
        <v>8917</v>
      </c>
      <c r="L20" s="9" t="n">
        <f aca="false">MIN(AA20,IF(C20&lt;71,0,VLOOKUP(MIN(C20,95),Assumptions!$E$37:$F$61,2,TRUE()))*AA20)</f>
        <v>21036.846391593</v>
      </c>
      <c r="M20" s="9" t="n">
        <f aca="false">I20+J20+K20+L20</f>
        <v>87974.4170699614</v>
      </c>
      <c r="N20" s="9" t="n">
        <f aca="false">D20+G20</f>
        <v>64834.8920157338</v>
      </c>
      <c r="O20" s="9" t="n">
        <f aca="false">MIN(0.5*N20,MAX(0,(H20-M20)/2))</f>
        <v>5733.73747288621</v>
      </c>
      <c r="P20" s="9" t="n">
        <f aca="false">H20-O20</f>
        <v>93708.1545428476</v>
      </c>
      <c r="Q20" s="9" t="n">
        <f aca="false">M20+O20</f>
        <v>93708.1545428476</v>
      </c>
      <c r="R20" s="9" t="n">
        <f aca="false">SUMPRODUCT(Assumptions!$B$36:$B$42,(P20-Assumptions!$A$36:$A$42)*((P20-Assumptions!$A$36:$A$42)&gt;0))</f>
        <v>19395.3621355685</v>
      </c>
      <c r="S20" s="9" t="n">
        <f aca="false">SUMPRODUCT(Assumptions!$B$36:$B$42,(Q20-Assumptions!$A$36:$A$42)*((Q20-Assumptions!$A$36:$A$42)&gt;0))</f>
        <v>19395.3621355685</v>
      </c>
      <c r="T20" s="9" t="n">
        <f aca="false">IF(B20&gt;=65,MIN(F20,Assumptions!$B$9*MAX(0,P20-Assumptions!$B$8)),0)</f>
        <v>0</v>
      </c>
      <c r="U20" s="9" t="n">
        <f aca="false">IF(C20&gt;=65,MIN(K20,Assumptions!$B$9*MAX(0,Q20-Assumptions!$B$8)),0)</f>
        <v>0</v>
      </c>
      <c r="V20" s="9" t="n">
        <f aca="false">H20+M20-R20-S20-T20-U20</f>
        <v>148625.584814558</v>
      </c>
      <c r="W20" s="9" t="n">
        <f aca="false">R20+S20+T20+U20</f>
        <v>38790.724271137</v>
      </c>
      <c r="X20" s="9" t="n">
        <f aca="false">SUMPRODUCT(Assumptions!$B$36:$B$42,(H20-Assumptions!$A$36:$A$42)*((H20-Assumptions!$A$36:$A$42)&gt;0))+SUMPRODUCT(Assumptions!$B$36:$B$42,(M20-Assumptions!$A$36:$A$42)*((M20-Assumptions!$A$36:$A$42)&gt;0))+IF(B20&gt;=65,MIN(F20,Assumptions!$B$9*MAX(0,H20-Assumptions!$B$8)),0)+IF(C20&gt;=65,MIN(K20,Assumptions!$B$9*MAX(0,M20-Assumptions!$B$8)),0)</f>
        <v>39408.5580734971</v>
      </c>
      <c r="Y20" s="10" t="n">
        <f aca="false">X20-W20</f>
        <v>617.833802360066</v>
      </c>
      <c r="Z20" s="11" t="n">
        <f aca="false">(Z19-G19)*(1+Assumptions!$B$7)</f>
        <v>96905.2992158144</v>
      </c>
      <c r="AA20" s="11" t="n">
        <f aca="false">(AA19-L19)*(1+Assumptions!$B$7)</f>
        <v>340953.75026893</v>
      </c>
    </row>
    <row r="21" customFormat="false" ht="15" hidden="false" customHeight="false" outlineLevel="0" collapsed="false">
      <c r="A21" s="8" t="n">
        <v>2046</v>
      </c>
      <c r="B21" s="8" t="n">
        <f aca="false">A21-Assumptions!$B$29</f>
        <v>81</v>
      </c>
      <c r="C21" s="8" t="n">
        <f aca="false">A21-Assumptions!$B$30</f>
        <v>78</v>
      </c>
      <c r="D21" s="9" t="n">
        <f aca="false">IF(A21&gt;=Assumptions!$B$23,Assumptions!$B$13*(1+Assumptions!$B$6)^(A21-Assumptions!$B$23),0)</f>
        <v>57643.6911031231</v>
      </c>
      <c r="E21" s="9" t="n">
        <f aca="false">IF(A21&gt;=Assumptions!$B$24,Assumptions!$B$15,0)</f>
        <v>25690</v>
      </c>
      <c r="F21" s="9" t="n">
        <f aca="false">IF(A21&gt;=Assumptions!$B$23,Assumptions!$B$17,0)</f>
        <v>8917</v>
      </c>
      <c r="G21" s="9" t="n">
        <f aca="false">MIN(Z21,MAX(IF(AND(A21&gt;=2030,A21&lt;=2034),Assumptions!$B$32,0),IF(B21&lt;71,0,VLOOKUP(MIN(B21,95),Assumptions!$E$37:$F$61,2,TRUE()))*Z21))</f>
        <v>6584.77159688509</v>
      </c>
      <c r="H21" s="9" t="n">
        <f aca="false">D21+E21+F21+G21</f>
        <v>98835.4627000082</v>
      </c>
      <c r="I21" s="9" t="n">
        <f aca="false">IF(A21&gt;=Assumptions!$B$26,Assumptions!$B$14*(1+Assumptions!$B$6)^(A21-Assumptions!$B$26),0)</f>
        <v>40427.2149715847</v>
      </c>
      <c r="J21" s="9" t="n">
        <f aca="false">IF(A21&gt;=Assumptions!$B$27,Assumptions!$B$16,0)</f>
        <v>17185</v>
      </c>
      <c r="K21" s="9" t="n">
        <f aca="false">IF(A21&gt;=Assumptions!$B$27,Assumptions!$B$18,0)</f>
        <v>8917</v>
      </c>
      <c r="L21" s="9" t="n">
        <f aca="false">MIN(AA21,IF(C21&lt;71,0,VLOOKUP(MIN(C21,95),Assumptions!$E$37:$F$61,2,TRUE()))*AA21)</f>
        <v>20957.1165391966</v>
      </c>
      <c r="M21" s="9" t="n">
        <f aca="false">I21+J21+K21+L21</f>
        <v>87486.3315107813</v>
      </c>
      <c r="N21" s="9" t="n">
        <f aca="false">D21+G21</f>
        <v>64228.4627000082</v>
      </c>
      <c r="O21" s="9" t="n">
        <f aca="false">MIN(0.5*N21,MAX(0,(H21-M21)/2))</f>
        <v>5674.56559461344</v>
      </c>
      <c r="P21" s="9" t="n">
        <f aca="false">H21-O21</f>
        <v>93160.8971053947</v>
      </c>
      <c r="Q21" s="9" t="n">
        <f aca="false">M21+O21</f>
        <v>93160.8971053947</v>
      </c>
      <c r="R21" s="9" t="n">
        <f aca="false">SUMPRODUCT(Assumptions!$B$36:$B$42,(P21-Assumptions!$A$36:$A$42)*((P21-Assumptions!$A$36:$A$42)&gt;0))</f>
        <v>19228.4486171454</v>
      </c>
      <c r="S21" s="9" t="n">
        <f aca="false">SUMPRODUCT(Assumptions!$B$36:$B$42,(Q21-Assumptions!$A$36:$A$42)*((Q21-Assumptions!$A$36:$A$42)&gt;0))</f>
        <v>19228.4486171454</v>
      </c>
      <c r="T21" s="9" t="n">
        <f aca="false">IF(B21&gt;=65,MIN(F21,Assumptions!$B$9*MAX(0,P21-Assumptions!$B$8)),0)</f>
        <v>0</v>
      </c>
      <c r="U21" s="9" t="n">
        <f aca="false">IF(C21&gt;=65,MIN(K21,Assumptions!$B$9*MAX(0,Q21-Assumptions!$B$8)),0)</f>
        <v>0</v>
      </c>
      <c r="V21" s="9" t="n">
        <f aca="false">H21+M21-R21-S21-T21-U21</f>
        <v>147864.896976499</v>
      </c>
      <c r="W21" s="9" t="n">
        <f aca="false">R21+S21+T21+U21</f>
        <v>38456.8972342908</v>
      </c>
      <c r="X21" s="9" t="n">
        <f aca="false">SUMPRODUCT(Assumptions!$B$36:$B$42,(H21-Assumptions!$A$36:$A$42)*((H21-Assumptions!$A$36:$A$42)&gt;0))+SUMPRODUCT(Assumptions!$B$36:$B$42,(M21-Assumptions!$A$36:$A$42)*((M21-Assumptions!$A$36:$A$42)&gt;0))+IF(B21&gt;=65,MIN(F21,Assumptions!$B$9*MAX(0,H21-Assumptions!$B$8)),0)+IF(C21&gt;=65,MIN(K21,Assumptions!$B$9*MAX(0,M21-Assumptions!$B$8)),0)</f>
        <v>38983.766639292</v>
      </c>
      <c r="Y21" s="10" t="n">
        <f aca="false">X21-W21</f>
        <v>526.869405001227</v>
      </c>
      <c r="Z21" s="11" t="n">
        <f aca="false">(Z20-G20)*(1+Assumptions!$B$7)</f>
        <v>93005.2485435747</v>
      </c>
      <c r="AA21" s="11" t="n">
        <f aca="false">(AA20-L20)*(1+Assumptions!$B$7)</f>
        <v>329514.410993657</v>
      </c>
    </row>
    <row r="22" customFormat="false" ht="15" hidden="false" customHeight="false" outlineLevel="0" collapsed="false">
      <c r="A22" s="8" t="n">
        <v>2047</v>
      </c>
      <c r="B22" s="8" t="n">
        <f aca="false">A22-Assumptions!$B$29</f>
        <v>82</v>
      </c>
      <c r="C22" s="8" t="n">
        <f aca="false">A22-Assumptions!$B$30</f>
        <v>79</v>
      </c>
      <c r="D22" s="9" t="n">
        <f aca="false">IF(A22&gt;=Assumptions!$B$23,Assumptions!$B$13*(1+Assumptions!$B$6)^(A22-Assumptions!$B$23),0)</f>
        <v>57067.2541920918</v>
      </c>
      <c r="E22" s="9" t="n">
        <f aca="false">IF(A22&gt;=Assumptions!$B$24,Assumptions!$B$15,0)</f>
        <v>25690</v>
      </c>
      <c r="F22" s="9" t="n">
        <f aca="false">IF(A22&gt;=Assumptions!$B$23,Assumptions!$B$17,0)</f>
        <v>8917</v>
      </c>
      <c r="G22" s="9" t="n">
        <f aca="false">MIN(Z22,MAX(IF(AND(A22&gt;=2030,A22&lt;=2034),Assumptions!$B$32,0),IF(B22&lt;71,0,VLOOKUP(MIN(B22,95),Assumptions!$E$37:$F$61,2,TRUE()))*Z22))</f>
        <v>6569.16613462567</v>
      </c>
      <c r="H22" s="9" t="n">
        <f aca="false">D22+E22+F22+G22</f>
        <v>98243.4203267175</v>
      </c>
      <c r="I22" s="9" t="n">
        <f aca="false">IF(A22&gt;=Assumptions!$B$26,Assumptions!$B$14*(1+Assumptions!$B$6)^(A22-Assumptions!$B$26),0)</f>
        <v>40022.9428218688</v>
      </c>
      <c r="J22" s="9" t="n">
        <f aca="false">IF(A22&gt;=Assumptions!$B$27,Assumptions!$B$16,0)</f>
        <v>17185</v>
      </c>
      <c r="K22" s="9" t="n">
        <f aca="false">IF(A22&gt;=Assumptions!$B$27,Assumptions!$B$18,0)</f>
        <v>8917</v>
      </c>
      <c r="L22" s="9" t="n">
        <f aca="false">MIN(AA22,IF(C22&lt;71,0,VLOOKUP(MIN(C22,95),Assumptions!$E$37:$F$61,2,TRUE()))*AA22)</f>
        <v>20912.1620743566</v>
      </c>
      <c r="M22" s="9" t="n">
        <f aca="false">I22+J22+K22+L22</f>
        <v>87037.1048962254</v>
      </c>
      <c r="N22" s="9" t="n">
        <f aca="false">D22+G22</f>
        <v>63636.4203267175</v>
      </c>
      <c r="O22" s="9" t="n">
        <f aca="false">MIN(0.5*N22,MAX(0,(H22-M22)/2))</f>
        <v>5603.15771524604</v>
      </c>
      <c r="P22" s="9" t="n">
        <f aca="false">H22-O22</f>
        <v>92640.2626114715</v>
      </c>
      <c r="Q22" s="9" t="n">
        <f aca="false">M22+O22</f>
        <v>92640.2626114715</v>
      </c>
      <c r="R22" s="9" t="n">
        <f aca="false">SUMPRODUCT(Assumptions!$B$36:$B$42,(P22-Assumptions!$A$36:$A$42)*((P22-Assumptions!$A$36:$A$42)&gt;0))</f>
        <v>19069.6550964988</v>
      </c>
      <c r="S22" s="9" t="n">
        <f aca="false">SUMPRODUCT(Assumptions!$B$36:$B$42,(Q22-Assumptions!$A$36:$A$42)*((Q22-Assumptions!$A$36:$A$42)&gt;0))</f>
        <v>19069.6550964988</v>
      </c>
      <c r="T22" s="9" t="n">
        <f aca="false">IF(B22&gt;=65,MIN(F22,Assumptions!$B$9*MAX(0,P22-Assumptions!$B$8)),0)</f>
        <v>0</v>
      </c>
      <c r="U22" s="9" t="n">
        <f aca="false">IF(C22&gt;=65,MIN(K22,Assumptions!$B$9*MAX(0,Q22-Assumptions!$B$8)),0)</f>
        <v>0</v>
      </c>
      <c r="V22" s="9" t="n">
        <f aca="false">H22+M22-R22-S22-T22-U22</f>
        <v>147141.215029945</v>
      </c>
      <c r="W22" s="9" t="n">
        <f aca="false">R22+S22+T22+U22</f>
        <v>38139.3101929976</v>
      </c>
      <c r="X22" s="9" t="n">
        <f aca="false">SUMPRODUCT(Assumptions!$B$36:$B$42,(H22-Assumptions!$A$36:$A$42)*((H22-Assumptions!$A$36:$A$42)&gt;0))+SUMPRODUCT(Assumptions!$B$36:$B$42,(M22-Assumptions!$A$36:$A$42)*((M22-Assumptions!$A$36:$A$42)&gt;0))+IF(B22&gt;=65,MIN(F22,Assumptions!$B$9*MAX(0,H22-Assumptions!$B$8)),0)+IF(C22&gt;=65,MIN(K22,Assumptions!$B$9*MAX(0,M22-Assumptions!$B$8)),0)</f>
        <v>38577.3732420052</v>
      </c>
      <c r="Y22" s="10" t="n">
        <f aca="false">X22-W22</f>
        <v>438.063049007622</v>
      </c>
      <c r="Z22" s="11" t="n">
        <f aca="false">(Z21-G21)*(1+Assumptions!$B$7)</f>
        <v>89013.0912550903</v>
      </c>
      <c r="AA22" s="11" t="n">
        <f aca="false">(AA21-L21)*(1+Assumptions!$B$7)</f>
        <v>317814.013288094</v>
      </c>
    </row>
    <row r="23" customFormat="false" ht="15" hidden="false" customHeight="false" outlineLevel="0" collapsed="false">
      <c r="A23" s="8" t="n">
        <v>2048</v>
      </c>
      <c r="B23" s="8" t="n">
        <f aca="false">A23-Assumptions!$B$29</f>
        <v>83</v>
      </c>
      <c r="C23" s="8" t="n">
        <f aca="false">A23-Assumptions!$B$30</f>
        <v>80</v>
      </c>
      <c r="D23" s="9" t="n">
        <f aca="false">IF(A23&gt;=Assumptions!$B$23,Assumptions!$B$13*(1+Assumptions!$B$6)^(A23-Assumptions!$B$23),0)</f>
        <v>56496.5816501709</v>
      </c>
      <c r="E23" s="9" t="n">
        <f aca="false">IF(A23&gt;=Assumptions!$B$24,Assumptions!$B$15,0)</f>
        <v>25690</v>
      </c>
      <c r="F23" s="9" t="n">
        <f aca="false">IF(A23&gt;=Assumptions!$B$23,Assumptions!$B$17,0)</f>
        <v>8917</v>
      </c>
      <c r="G23" s="9" t="n">
        <f aca="false">MIN(Z23,MAX(IF(AND(A23&gt;=2030,A23&lt;=2034),Assumptions!$B$32,0),IF(B23&lt;71,0,VLOOKUP(MIN(B23,95),Assumptions!$E$37:$F$61,2,TRUE()))*Z23))</f>
        <v>6547.11942559146</v>
      </c>
      <c r="H23" s="9" t="n">
        <f aca="false">D23+E23+F23+G23</f>
        <v>97650.7010757624</v>
      </c>
      <c r="I23" s="9" t="n">
        <f aca="false">IF(A23&gt;=Assumptions!$B$26,Assumptions!$B$14*(1+Assumptions!$B$6)^(A23-Assumptions!$B$26),0)</f>
        <v>39622.7133936502</v>
      </c>
      <c r="J23" s="9" t="n">
        <f aca="false">IF(A23&gt;=Assumptions!$B$27,Assumptions!$B$16,0)</f>
        <v>17185</v>
      </c>
      <c r="K23" s="9" t="n">
        <f aca="false">IF(A23&gt;=Assumptions!$B$27,Assumptions!$B$18,0)</f>
        <v>8917</v>
      </c>
      <c r="L23" s="9" t="n">
        <f aca="false">MIN(AA23,IF(C23&lt;71,0,VLOOKUP(MIN(C23,95),Assumptions!$E$37:$F$61,2,TRUE()))*AA23)</f>
        <v>20856.1674403602</v>
      </c>
      <c r="M23" s="9" t="n">
        <f aca="false">I23+J23+K23+L23</f>
        <v>86580.8808340104</v>
      </c>
      <c r="N23" s="9" t="n">
        <f aca="false">D23+G23</f>
        <v>63043.7010757624</v>
      </c>
      <c r="O23" s="9" t="n">
        <f aca="false">MIN(0.5*N23,MAX(0,(H23-M23)/2))</f>
        <v>5534.910120876</v>
      </c>
      <c r="P23" s="9" t="n">
        <f aca="false">H23-O23</f>
        <v>92115.7909548864</v>
      </c>
      <c r="Q23" s="9" t="n">
        <f aca="false">M23+O23</f>
        <v>92115.7909548864</v>
      </c>
      <c r="R23" s="9" t="n">
        <f aca="false">SUMPRODUCT(Assumptions!$B$36:$B$42,(P23-Assumptions!$A$36:$A$42)*((P23-Assumptions!$A$36:$A$42)&gt;0))</f>
        <v>18909.6912412403</v>
      </c>
      <c r="S23" s="9" t="n">
        <f aca="false">SUMPRODUCT(Assumptions!$B$36:$B$42,(Q23-Assumptions!$A$36:$A$42)*((Q23-Assumptions!$A$36:$A$42)&gt;0))</f>
        <v>18909.6912412403</v>
      </c>
      <c r="T23" s="9" t="n">
        <f aca="false">IF(B23&gt;=65,MIN(F23,Assumptions!$B$9*MAX(0,P23-Assumptions!$B$8)),0)</f>
        <v>0</v>
      </c>
      <c r="U23" s="9" t="n">
        <f aca="false">IF(C23&gt;=65,MIN(K23,Assumptions!$B$9*MAX(0,Q23-Assumptions!$B$8)),0)</f>
        <v>0</v>
      </c>
      <c r="V23" s="9" t="n">
        <f aca="false">H23+M23-R23-S23-T23-U23</f>
        <v>146412.199427292</v>
      </c>
      <c r="W23" s="9" t="n">
        <f aca="false">R23+S23+T23+U23</f>
        <v>37819.3824824807</v>
      </c>
      <c r="X23" s="9" t="n">
        <f aca="false">SUMPRODUCT(Assumptions!$B$36:$B$42,(H23-Assumptions!$A$36:$A$42)*((H23-Assumptions!$A$36:$A$42)&gt;0))+SUMPRODUCT(Assumptions!$B$36:$B$42,(M23-Assumptions!$A$36:$A$42)*((M23-Assumptions!$A$36:$A$42)&gt;0))+IF(B23&gt;=65,MIN(F23,Assumptions!$B$9*MAX(0,H23-Assumptions!$B$8)),0)+IF(C23&gt;=65,MIN(K23,Assumptions!$B$9*MAX(0,M23-Assumptions!$B$8)),0)</f>
        <v>38168.5376438451</v>
      </c>
      <c r="Y23" s="10" t="n">
        <f aca="false">X23-W23</f>
        <v>349.155161364353</v>
      </c>
      <c r="Z23" s="11" t="n">
        <f aca="false">(Z22-G22)*(1+Assumptions!$B$7)</f>
        <v>84917.2428740786</v>
      </c>
      <c r="AA23" s="11" t="n">
        <f aca="false">(AA22-L22)*(1+Assumptions!$B$7)</f>
        <v>305808.90675015</v>
      </c>
    </row>
    <row r="24" customFormat="false" ht="15" hidden="false" customHeight="false" outlineLevel="0" collapsed="false">
      <c r="A24" s="8" t="n">
        <v>2049</v>
      </c>
      <c r="B24" s="8" t="n">
        <f aca="false">A24-Assumptions!$B$29</f>
        <v>84</v>
      </c>
      <c r="C24" s="8" t="n">
        <f aca="false">A24-Assumptions!$B$30</f>
        <v>81</v>
      </c>
      <c r="D24" s="9" t="n">
        <f aca="false">IF(A24&gt;=Assumptions!$B$23,Assumptions!$B$13*(1+Assumptions!$B$6)^(A24-Assumptions!$B$23),0)</f>
        <v>55931.6158336692</v>
      </c>
      <c r="E24" s="9" t="n">
        <f aca="false">IF(A24&gt;=Assumptions!$B$24,Assumptions!$B$15,0)</f>
        <v>25690</v>
      </c>
      <c r="F24" s="9" t="n">
        <f aca="false">IF(A24&gt;=Assumptions!$B$23,Assumptions!$B$17,0)</f>
        <v>8917</v>
      </c>
      <c r="G24" s="9" t="n">
        <f aca="false">MIN(Z24,MAX(IF(AND(A24&gt;=2030,A24&lt;=2034),Assumptions!$B$32,0),IF(B24&lt;71,0,VLOOKUP(MIN(B24,95),Assumptions!$E$37:$F$61,2,TRUE()))*Z24))</f>
        <v>6522.27515387689</v>
      </c>
      <c r="H24" s="9" t="n">
        <f aca="false">D24+E24+F24+G24</f>
        <v>97060.8909875461</v>
      </c>
      <c r="I24" s="9" t="n">
        <f aca="false">IF(A24&gt;=Assumptions!$B$26,Assumptions!$B$14*(1+Assumptions!$B$6)^(A24-Assumptions!$B$26),0)</f>
        <v>39226.4862597137</v>
      </c>
      <c r="J24" s="9" t="n">
        <f aca="false">IF(A24&gt;=Assumptions!$B$27,Assumptions!$B$16,0)</f>
        <v>17185</v>
      </c>
      <c r="K24" s="9" t="n">
        <f aca="false">IF(A24&gt;=Assumptions!$B$27,Assumptions!$B$18,0)</f>
        <v>8917</v>
      </c>
      <c r="L24" s="9" t="n">
        <f aca="false">MIN(AA24,IF(C24&lt;71,0,VLOOKUP(MIN(C24,95),Assumptions!$E$37:$F$61,2,TRUE()))*AA24)</f>
        <v>20779.8935614271</v>
      </c>
      <c r="M24" s="9" t="n">
        <f aca="false">I24+J24+K24+L24</f>
        <v>86108.3798211407</v>
      </c>
      <c r="N24" s="9" t="n">
        <f aca="false">D24+G24</f>
        <v>62453.8909875461</v>
      </c>
      <c r="O24" s="9" t="n">
        <f aca="false">MIN(0.5*N24,MAX(0,(H24-M24)/2))</f>
        <v>5476.25558320269</v>
      </c>
      <c r="P24" s="9" t="n">
        <f aca="false">H24-O24</f>
        <v>91584.6354043434</v>
      </c>
      <c r="Q24" s="9" t="n">
        <f aca="false">M24+O24</f>
        <v>91584.6354043434</v>
      </c>
      <c r="R24" s="9" t="n">
        <f aca="false">SUMPRODUCT(Assumptions!$B$36:$B$42,(P24-Assumptions!$A$36:$A$42)*((P24-Assumptions!$A$36:$A$42)&gt;0))</f>
        <v>18747.6887983247</v>
      </c>
      <c r="S24" s="9" t="n">
        <f aca="false">SUMPRODUCT(Assumptions!$B$36:$B$42,(Q24-Assumptions!$A$36:$A$42)*((Q24-Assumptions!$A$36:$A$42)&gt;0))</f>
        <v>18747.6887983247</v>
      </c>
      <c r="T24" s="9" t="n">
        <f aca="false">IF(B24&gt;=65,MIN(F24,Assumptions!$B$9*MAX(0,P24-Assumptions!$B$8)),0)</f>
        <v>0</v>
      </c>
      <c r="U24" s="9" t="n">
        <f aca="false">IF(C24&gt;=65,MIN(K24,Assumptions!$B$9*MAX(0,Q24-Assumptions!$B$8)),0)</f>
        <v>0</v>
      </c>
      <c r="V24" s="9" t="n">
        <f aca="false">H24+M24-R24-S24-T24-U24</f>
        <v>145673.893212037</v>
      </c>
      <c r="W24" s="9" t="n">
        <f aca="false">R24+S24+T24+U24</f>
        <v>37495.3775966495</v>
      </c>
      <c r="X24" s="9" t="n">
        <f aca="false">SUMPRODUCT(Assumptions!$B$36:$B$42,(H24-Assumptions!$A$36:$A$42)*((H24-Assumptions!$A$36:$A$42)&gt;0))+SUMPRODUCT(Assumptions!$B$36:$B$42,(M24-Assumptions!$A$36:$A$42)*((M24-Assumptions!$A$36:$A$42)&gt;0))+IF(B24&gt;=65,MIN(F24,Assumptions!$B$9*MAX(0,H24-Assumptions!$B$8)),0)+IF(C24&gt;=65,MIN(K24,Assumptions!$B$9*MAX(0,M24-Assumptions!$B$8)),0)</f>
        <v>37756.0612447814</v>
      </c>
      <c r="Y24" s="10" t="n">
        <f aca="false">X24-W24</f>
        <v>260.683648131919</v>
      </c>
      <c r="Z24" s="11" t="n">
        <f aca="false">(Z23-G23)*(1+Assumptions!$B$7)</f>
        <v>80721.2271519418</v>
      </c>
      <c r="AA24" s="11" t="n">
        <f aca="false">(AA23-L23)*(1+Assumptions!$B$7)</f>
        <v>293501.321489083</v>
      </c>
    </row>
    <row r="25" customFormat="false" ht="15" hidden="false" customHeight="false" outlineLevel="0" collapsed="false">
      <c r="A25" s="8" t="n">
        <v>2050</v>
      </c>
      <c r="B25" s="8" t="n">
        <f aca="false">A25-Assumptions!$B$29</f>
        <v>85</v>
      </c>
      <c r="C25" s="8" t="n">
        <f aca="false">A25-Assumptions!$B$30</f>
        <v>82</v>
      </c>
      <c r="D25" s="9" t="n">
        <f aca="false">IF(A25&gt;=Assumptions!$B$23,Assumptions!$B$13*(1+Assumptions!$B$6)^(A25-Assumptions!$B$23),0)</f>
        <v>55372.2996753325</v>
      </c>
      <c r="E25" s="9" t="n">
        <f aca="false">IF(A25&gt;=Assumptions!$B$24,Assumptions!$B$15,0)</f>
        <v>25690</v>
      </c>
      <c r="F25" s="9" t="n">
        <f aca="false">IF(A25&gt;=Assumptions!$B$23,Assumptions!$B$17,0)</f>
        <v>8917</v>
      </c>
      <c r="G25" s="9" t="n">
        <f aca="false">MIN(Z25,MAX(IF(AND(A25&gt;=2030,A25&lt;=2034),Assumptions!$B$32,0),IF(B25&lt;71,0,VLOOKUP(MIN(B25,95),Assumptions!$E$37:$F$61,2,TRUE()))*Z25))</f>
        <v>6503.76073948638</v>
      </c>
      <c r="H25" s="9" t="n">
        <f aca="false">D25+E25+F25+G25</f>
        <v>96483.0604148189</v>
      </c>
      <c r="I25" s="9" t="n">
        <f aca="false">IF(A25&gt;=Assumptions!$B$26,Assumptions!$B$14*(1+Assumptions!$B$6)^(A25-Assumptions!$B$26),0)</f>
        <v>38834.2213971165</v>
      </c>
      <c r="J25" s="9" t="n">
        <f aca="false">IF(A25&gt;=Assumptions!$B$27,Assumptions!$B$16,0)</f>
        <v>17185</v>
      </c>
      <c r="K25" s="9" t="n">
        <f aca="false">IF(A25&gt;=Assumptions!$B$27,Assumptions!$B$18,0)</f>
        <v>8917</v>
      </c>
      <c r="L25" s="9" t="n">
        <f aca="false">MIN(AA25,IF(C25&lt;71,0,VLOOKUP(MIN(C25,95),Assumptions!$E$37:$F$61,2,TRUE()))*AA25)</f>
        <v>20730.6466224929</v>
      </c>
      <c r="M25" s="9" t="n">
        <f aca="false">I25+J25+K25+L25</f>
        <v>85666.8680196094</v>
      </c>
      <c r="N25" s="9" t="n">
        <f aca="false">D25+G25</f>
        <v>61876.0604148189</v>
      </c>
      <c r="O25" s="9" t="n">
        <f aca="false">MIN(0.5*N25,MAX(0,(H25-M25)/2))</f>
        <v>5408.09619760476</v>
      </c>
      <c r="P25" s="9" t="n">
        <f aca="false">H25-O25</f>
        <v>91074.9642172142</v>
      </c>
      <c r="Q25" s="9" t="n">
        <f aca="false">M25+O25</f>
        <v>91074.9642172142</v>
      </c>
      <c r="R25" s="9" t="n">
        <f aca="false">SUMPRODUCT(Assumptions!$B$36:$B$42,(P25-Assumptions!$A$36:$A$42)*((P25-Assumptions!$A$36:$A$42)&gt;0))</f>
        <v>18592.2390862503</v>
      </c>
      <c r="S25" s="9" t="n">
        <f aca="false">SUMPRODUCT(Assumptions!$B$36:$B$42,(Q25-Assumptions!$A$36:$A$42)*((Q25-Assumptions!$A$36:$A$42)&gt;0))</f>
        <v>18592.2390862503</v>
      </c>
      <c r="T25" s="9" t="n">
        <f aca="false">IF(B25&gt;=65,MIN(F25,Assumptions!$B$9*MAX(0,P25-Assumptions!$B$8)),0)</f>
        <v>0</v>
      </c>
      <c r="U25" s="9" t="n">
        <f aca="false">IF(C25&gt;=65,MIN(K25,Assumptions!$B$9*MAX(0,Q25-Assumptions!$B$8)),0)</f>
        <v>0</v>
      </c>
      <c r="V25" s="9" t="n">
        <f aca="false">H25+M25-R25-S25-T25-U25</f>
        <v>144965.450261928</v>
      </c>
      <c r="W25" s="9" t="n">
        <f aca="false">R25+S25+T25+U25</f>
        <v>37184.4781725006</v>
      </c>
      <c r="X25" s="9" t="n">
        <f aca="false">SUMPRODUCT(Assumptions!$B$36:$B$42,(H25-Assumptions!$A$36:$A$42)*((H25-Assumptions!$A$36:$A$42)&gt;0))+SUMPRODUCT(Assumptions!$B$36:$B$42,(M25-Assumptions!$A$36:$A$42)*((M25-Assumptions!$A$36:$A$42)&gt;0))+IF(B25&gt;=65,MIN(F25,Assumptions!$B$9*MAX(0,H25-Assumptions!$B$8)),0)+IF(C25&gt;=65,MIN(K25,Assumptions!$B$9*MAX(0,M25-Assumptions!$B$8)),0)</f>
        <v>37358.4872347235</v>
      </c>
      <c r="Y25" s="10" t="n">
        <f aca="false">X25-W25</f>
        <v>174.009062222838</v>
      </c>
      <c r="Z25" s="11" t="n">
        <f aca="false">(Z24-G24)*(1+Assumptions!$B$7)</f>
        <v>76424.9205580068</v>
      </c>
      <c r="AA25" s="11" t="n">
        <f aca="false">(AA24-L24)*(1+Assumptions!$B$7)</f>
        <v>280903.070765486</v>
      </c>
    </row>
    <row r="26" customFormat="false" ht="15" hidden="false" customHeight="false" outlineLevel="0" collapsed="false">
      <c r="A26" s="8" t="n">
        <v>2051</v>
      </c>
      <c r="B26" s="8" t="n">
        <f aca="false">A26-Assumptions!$B$29</f>
        <v>86</v>
      </c>
      <c r="C26" s="8" t="n">
        <f aca="false">A26-Assumptions!$B$30</f>
        <v>83</v>
      </c>
      <c r="D26" s="9" t="n">
        <f aca="false">IF(A26&gt;=Assumptions!$B$23,Assumptions!$B$13*(1+Assumptions!$B$6)^(A26-Assumptions!$B$23),0)</f>
        <v>54818.5766785792</v>
      </c>
      <c r="E26" s="9" t="n">
        <f aca="false">IF(A26&gt;=Assumptions!$B$24,Assumptions!$B$15,0)</f>
        <v>25690</v>
      </c>
      <c r="F26" s="9" t="n">
        <f aca="false">IF(A26&gt;=Assumptions!$B$23,Assumptions!$B$17,0)</f>
        <v>8917</v>
      </c>
      <c r="G26" s="9" t="n">
        <f aca="false">MIN(Z26,MAX(IF(AND(A26&gt;=2030,A26&lt;=2034),Assumptions!$B$32,0),IF(B26&lt;71,0,VLOOKUP(MIN(B26,95),Assumptions!$E$37:$F$61,2,TRUE()))*Z26))</f>
        <v>6474.48963571554</v>
      </c>
      <c r="H26" s="9" t="n">
        <f aca="false">D26+E26+F26+G26</f>
        <v>95900.0663142947</v>
      </c>
      <c r="I26" s="9" t="n">
        <f aca="false">IF(A26&gt;=Assumptions!$B$26,Assumptions!$B$14*(1+Assumptions!$B$6)^(A26-Assumptions!$B$26),0)</f>
        <v>38445.8791831454</v>
      </c>
      <c r="J26" s="9" t="n">
        <f aca="false">IF(A26&gt;=Assumptions!$B$27,Assumptions!$B$16,0)</f>
        <v>17185</v>
      </c>
      <c r="K26" s="9" t="n">
        <f aca="false">IF(A26&gt;=Assumptions!$B$27,Assumptions!$B$18,0)</f>
        <v>8917</v>
      </c>
      <c r="L26" s="9" t="n">
        <f aca="false">MIN(AA26,IF(C26&lt;71,0,VLOOKUP(MIN(C26,95),Assumptions!$E$37:$F$61,2,TRUE()))*AA26)</f>
        <v>20661.0727184675</v>
      </c>
      <c r="M26" s="9" t="n">
        <f aca="false">I26+J26+K26+L26</f>
        <v>85208.9519016129</v>
      </c>
      <c r="N26" s="9" t="n">
        <f aca="false">D26+G26</f>
        <v>61293.0663142947</v>
      </c>
      <c r="O26" s="9" t="n">
        <f aca="false">MIN(0.5*N26,MAX(0,(H26-M26)/2))</f>
        <v>5345.55720634093</v>
      </c>
      <c r="P26" s="9" t="n">
        <f aca="false">H26-O26</f>
        <v>90554.5091079538</v>
      </c>
      <c r="Q26" s="9" t="n">
        <f aca="false">M26+O26</f>
        <v>90554.5091079538</v>
      </c>
      <c r="R26" s="9" t="n">
        <f aca="false">SUMPRODUCT(Assumptions!$B$36:$B$42,(P26-Assumptions!$A$36:$A$42)*((P26-Assumptions!$A$36:$A$42)&gt;0))</f>
        <v>18433.5002779259</v>
      </c>
      <c r="S26" s="9" t="n">
        <f aca="false">SUMPRODUCT(Assumptions!$B$36:$B$42,(Q26-Assumptions!$A$36:$A$42)*((Q26-Assumptions!$A$36:$A$42)&gt;0))</f>
        <v>18433.5002779259</v>
      </c>
      <c r="T26" s="9" t="n">
        <f aca="false">IF(B26&gt;=65,MIN(F26,Assumptions!$B$9*MAX(0,P26-Assumptions!$B$8)),0)</f>
        <v>0</v>
      </c>
      <c r="U26" s="9" t="n">
        <f aca="false">IF(C26&gt;=65,MIN(K26,Assumptions!$B$9*MAX(0,Q26-Assumptions!$B$8)),0)</f>
        <v>0</v>
      </c>
      <c r="V26" s="9" t="n">
        <f aca="false">H26+M26-R26-S26-T26-U26</f>
        <v>144242.017660056</v>
      </c>
      <c r="W26" s="9" t="n">
        <f aca="false">R26+S26+T26+U26</f>
        <v>36867.0005558518</v>
      </c>
      <c r="X26" s="9" t="n">
        <f aca="false">SUMPRODUCT(Assumptions!$B$36:$B$42,(H26-Assumptions!$A$36:$A$42)*((H26-Assumptions!$A$36:$A$42)&gt;0))+SUMPRODUCT(Assumptions!$B$36:$B$42,(M26-Assumptions!$A$36:$A$42)*((M26-Assumptions!$A$36:$A$42)&gt;0))+IF(B26&gt;=65,MIN(F26,Assumptions!$B$9*MAX(0,H26-Assumptions!$B$8)),0)+IF(C26&gt;=65,MIN(K26,Assumptions!$B$9*MAX(0,M26-Assumptions!$B$8)),0)</f>
        <v>36953.560502996</v>
      </c>
      <c r="Y26" s="10" t="n">
        <f aca="false">X26-W26</f>
        <v>86.559947144211</v>
      </c>
      <c r="Z26" s="11" t="n">
        <f aca="false">(Z25-G25)*(1+Assumptions!$B$7)</f>
        <v>72018.7946130761</v>
      </c>
      <c r="AA26" s="11" t="n">
        <f aca="false">(AA25-L25)*(1+Assumptions!$B$7)</f>
        <v>267977.596867283</v>
      </c>
    </row>
    <row r="27" customFormat="false" ht="15" hidden="false" customHeight="false" outlineLevel="0" collapsed="false">
      <c r="A27" s="8" t="n">
        <v>2052</v>
      </c>
      <c r="B27" s="8" t="n">
        <f aca="false">A27-Assumptions!$B$29</f>
        <v>87</v>
      </c>
      <c r="C27" s="8" t="n">
        <f aca="false">A27-Assumptions!$B$30</f>
        <v>84</v>
      </c>
      <c r="D27" s="9" t="n">
        <f aca="false">IF(A27&gt;=Assumptions!$B$23,Assumptions!$B$13*(1+Assumptions!$B$6)^(A27-Assumptions!$B$23),0)</f>
        <v>54270.3909117934</v>
      </c>
      <c r="E27" s="9" t="n">
        <f aca="false">IF(A27&gt;=Assumptions!$B$24,Assumptions!$B$15,0)</f>
        <v>25690</v>
      </c>
      <c r="F27" s="9" t="n">
        <f aca="false">IF(A27&gt;=Assumptions!$B$23,Assumptions!$B$17,0)</f>
        <v>8917</v>
      </c>
      <c r="G27" s="9" t="n">
        <f aca="false">MIN(Z27,MAX(IF(AND(A27&gt;=2030,A27&lt;=2034),Assumptions!$B$32,0),IF(B27&lt;71,0,VLOOKUP(MIN(B27,95),Assumptions!$E$37:$F$61,2,TRUE()))*Z27))</f>
        <v>6447.26555909807</v>
      </c>
      <c r="H27" s="9" t="n">
        <f aca="false">D27+E27+F27+G27</f>
        <v>95324.6564708915</v>
      </c>
      <c r="I27" s="9" t="n">
        <f aca="false">IF(A27&gt;=Assumptions!$B$26,Assumptions!$B$14*(1+Assumptions!$B$6)^(A27-Assumptions!$B$26),0)</f>
        <v>38061.4203913139</v>
      </c>
      <c r="J27" s="9" t="n">
        <f aca="false">IF(A27&gt;=Assumptions!$B$27,Assumptions!$B$16,0)</f>
        <v>17185</v>
      </c>
      <c r="K27" s="9" t="n">
        <f aca="false">IF(A27&gt;=Assumptions!$B$27,Assumptions!$B$18,0)</f>
        <v>8917</v>
      </c>
      <c r="L27" s="9" t="n">
        <f aca="false">MIN(AA27,IF(C27&lt;71,0,VLOOKUP(MIN(C27,95),Assumptions!$E$37:$F$61,2,TRUE()))*AA27)</f>
        <v>20582.670405761</v>
      </c>
      <c r="M27" s="9" t="n">
        <f aca="false">I27+J27+K27+L27</f>
        <v>84746.0907970749</v>
      </c>
      <c r="N27" s="9" t="n">
        <f aca="false">D27+G27</f>
        <v>60717.6564708915</v>
      </c>
      <c r="O27" s="9" t="n">
        <f aca="false">MIN(0.5*N27,MAX(0,(H27-M27)/2))</f>
        <v>5289.28283690828</v>
      </c>
      <c r="P27" s="9" t="n">
        <f aca="false">H27-O27</f>
        <v>90035.3736339832</v>
      </c>
      <c r="Q27" s="9" t="n">
        <f aca="false">M27+O27</f>
        <v>90035.3736339832</v>
      </c>
      <c r="R27" s="9" t="n">
        <f aca="false">SUMPRODUCT(Assumptions!$B$36:$B$42,(P27-Assumptions!$A$36:$A$42)*((P27-Assumptions!$A$36:$A$42)&gt;0))</f>
        <v>18275.1639583649</v>
      </c>
      <c r="S27" s="9" t="n">
        <f aca="false">SUMPRODUCT(Assumptions!$B$36:$B$42,(Q27-Assumptions!$A$36:$A$42)*((Q27-Assumptions!$A$36:$A$42)&gt;0))</f>
        <v>18275.1639583649</v>
      </c>
      <c r="T27" s="9" t="n">
        <f aca="false">IF(B27&gt;=65,MIN(F27,Assumptions!$B$9*MAX(0,P27-Assumptions!$B$8)),0)</f>
        <v>0</v>
      </c>
      <c r="U27" s="9" t="n">
        <f aca="false">IF(C27&gt;=65,MIN(K27,Assumptions!$B$9*MAX(0,Q27-Assumptions!$B$8)),0)</f>
        <v>0</v>
      </c>
      <c r="V27" s="9" t="n">
        <f aca="false">H27+M27-R27-S27-T27-U27</f>
        <v>143520.419351237</v>
      </c>
      <c r="W27" s="9" t="n">
        <f aca="false">R27+S27+T27+U27</f>
        <v>36550.3279167298</v>
      </c>
      <c r="X27" s="9" t="n">
        <f aca="false">SUMPRODUCT(Assumptions!$B$36:$B$42,(H27-Assumptions!$A$36:$A$42)*((H27-Assumptions!$A$36:$A$42)&gt;0))+SUMPRODUCT(Assumptions!$B$36:$B$42,(M27-Assumptions!$A$36:$A$42)*((M27-Assumptions!$A$36:$A$42)&gt;0))+IF(B27&gt;=65,MIN(F27,Assumptions!$B$9*MAX(0,H27-Assumptions!$B$8)),0)+IF(C27&gt;=65,MIN(K27,Assumptions!$B$9*MAX(0,M27-Assumptions!$B$8)),0)</f>
        <v>36550.5763873635</v>
      </c>
      <c r="Y27" s="10" t="n">
        <f aca="false">X27-W27</f>
        <v>0.248470633712714</v>
      </c>
      <c r="Z27" s="11" t="n">
        <f aca="false">(Z26-G26)*(1+Assumptions!$B$7)</f>
        <v>67510.6341266813</v>
      </c>
      <c r="AA27" s="11" t="n">
        <f aca="false">(AA26-L26)*(1+Assumptions!$B$7)</f>
        <v>254736.01987328</v>
      </c>
    </row>
    <row r="28" customFormat="false" ht="15" hidden="false" customHeight="false" outlineLevel="0" collapsed="false">
      <c r="A28" s="8" t="n">
        <v>2053</v>
      </c>
      <c r="B28" s="8" t="n">
        <f aca="false">A28-Assumptions!$B$29</f>
        <v>88</v>
      </c>
      <c r="C28" s="8" t="n">
        <f aca="false">A28-Assumptions!$B$30</f>
        <v>85</v>
      </c>
      <c r="D28" s="9" t="n">
        <f aca="false">IF(A28&gt;=Assumptions!$B$23,Assumptions!$B$13*(1+Assumptions!$B$6)^(A28-Assumptions!$B$23),0)</f>
        <v>53727.6870026755</v>
      </c>
      <c r="E28" s="9" t="n">
        <f aca="false">IF(A28&gt;=Assumptions!$B$24,Assumptions!$B$15,0)</f>
        <v>25690</v>
      </c>
      <c r="F28" s="9" t="n">
        <f aca="false">IF(A28&gt;=Assumptions!$B$23,Assumptions!$B$17,0)</f>
        <v>8917</v>
      </c>
      <c r="G28" s="9" t="n">
        <f aca="false">MIN(Z28,MAX(IF(AND(A28&gt;=2030,A28&lt;=2034),Assumptions!$B$32,0),IF(B28&lt;71,0,VLOOKUP(MIN(B28,95),Assumptions!$E$37:$F$61,2,TRUE()))*Z28))</f>
        <v>6421.60702867276</v>
      </c>
      <c r="H28" s="9" t="n">
        <f aca="false">D28+E28+F28+G28</f>
        <v>94756.2940313482</v>
      </c>
      <c r="I28" s="9" t="n">
        <f aca="false">IF(A28&gt;=Assumptions!$B$26,Assumptions!$B$14*(1+Assumptions!$B$6)^(A28-Assumptions!$B$26),0)</f>
        <v>37680.8061874008</v>
      </c>
      <c r="J28" s="9" t="n">
        <f aca="false">IF(A28&gt;=Assumptions!$B$27,Assumptions!$B$16,0)</f>
        <v>17185</v>
      </c>
      <c r="K28" s="9" t="n">
        <f aca="false">IF(A28&gt;=Assumptions!$B$27,Assumptions!$B$18,0)</f>
        <v>8917</v>
      </c>
      <c r="L28" s="9" t="n">
        <f aca="false">MIN(AA28,IF(C28&lt;71,0,VLOOKUP(MIN(C28,95),Assumptions!$E$37:$F$61,2,TRUE()))*AA28)</f>
        <v>20524.2435408764</v>
      </c>
      <c r="M28" s="9" t="n">
        <f aca="false">I28+J28+K28+L28</f>
        <v>84307.0497282772</v>
      </c>
      <c r="N28" s="9" t="n">
        <f aca="false">D28+G28</f>
        <v>60149.2940313482</v>
      </c>
      <c r="O28" s="9" t="n">
        <f aca="false">MIN(0.5*N28,MAX(0,(H28-M28)/2))</f>
        <v>5224.62215153553</v>
      </c>
      <c r="P28" s="9" t="n">
        <f aca="false">H28-O28</f>
        <v>89531.6718798127</v>
      </c>
      <c r="Q28" s="9" t="n">
        <f aca="false">M28+O28</f>
        <v>89531.6718798127</v>
      </c>
      <c r="R28" s="9" t="n">
        <f aca="false">SUMPRODUCT(Assumptions!$B$36:$B$42,(P28-Assumptions!$A$36:$A$42)*((P28-Assumptions!$A$36:$A$42)&gt;0))</f>
        <v>18121.5349233429</v>
      </c>
      <c r="S28" s="9" t="n">
        <f aca="false">SUMPRODUCT(Assumptions!$B$36:$B$42,(Q28-Assumptions!$A$36:$A$42)*((Q28-Assumptions!$A$36:$A$42)&gt;0))</f>
        <v>18121.5349233429</v>
      </c>
      <c r="T28" s="9" t="n">
        <f aca="false">IF(B28&gt;=65,MIN(F28,Assumptions!$B$9*MAX(0,P28-Assumptions!$B$8)),0)</f>
        <v>0</v>
      </c>
      <c r="U28" s="9" t="n">
        <f aca="false">IF(C28&gt;=65,MIN(K28,Assumptions!$B$9*MAX(0,Q28-Assumptions!$B$8)),0)</f>
        <v>0</v>
      </c>
      <c r="V28" s="9" t="n">
        <f aca="false">H28+M28-R28-S28-T28-U28</f>
        <v>142820.27391294</v>
      </c>
      <c r="W28" s="9" t="n">
        <f aca="false">R28+S28+T28+U28</f>
        <v>36243.0698466858</v>
      </c>
      <c r="X28" s="9" t="n">
        <f aca="false">SUMPRODUCT(Assumptions!$B$36:$B$42,(H28-Assumptions!$A$36:$A$42)*((H28-Assumptions!$A$36:$A$42)&gt;0))+SUMPRODUCT(Assumptions!$B$36:$B$42,(M28-Assumptions!$A$36:$A$42)*((M28-Assumptions!$A$36:$A$42)&gt;0))+IF(B28&gt;=65,MIN(F28,Assumptions!$B$9*MAX(0,H28-Assumptions!$B$8)),0)+IF(C28&gt;=65,MIN(K28,Assumptions!$B$9*MAX(0,M28-Assumptions!$B$8)),0)</f>
        <v>36243.0698466857</v>
      </c>
      <c r="Y28" s="10" t="n">
        <f aca="false">X28-W28</f>
        <v>0</v>
      </c>
      <c r="Z28" s="11" t="n">
        <f aca="false">(Z27-G27)*(1+Assumptions!$B$7)</f>
        <v>62895.2696246108</v>
      </c>
      <c r="AA28" s="11" t="n">
        <f aca="false">(AA27-L27)*(1+Assumptions!$B$7)</f>
        <v>241177.949951544</v>
      </c>
    </row>
    <row r="29" customFormat="false" ht="15" hidden="false" customHeight="false" outlineLevel="0" collapsed="false">
      <c r="A29" s="8" t="n">
        <v>2054</v>
      </c>
      <c r="B29" s="8" t="n">
        <f aca="false">A29-Assumptions!$B$29</f>
        <v>89</v>
      </c>
      <c r="C29" s="8" t="n">
        <f aca="false">A29-Assumptions!$B$30</f>
        <v>86</v>
      </c>
      <c r="D29" s="9" t="n">
        <f aca="false">IF(A29&gt;=Assumptions!$B$23,Assumptions!$B$13*(1+Assumptions!$B$6)^(A29-Assumptions!$B$23),0)</f>
        <v>53190.4101326487</v>
      </c>
      <c r="E29" s="9" t="n">
        <f aca="false">IF(A29&gt;=Assumptions!$B$24,Assumptions!$B$15,0)</f>
        <v>25690</v>
      </c>
      <c r="F29" s="9" t="n">
        <f aca="false">IF(A29&gt;=Assumptions!$B$23,Assumptions!$B$17,0)</f>
        <v>8917</v>
      </c>
      <c r="G29" s="9" t="n">
        <f aca="false">MIN(Z29,MAX(IF(AND(A29&gt;=2030,A29&lt;=2034),Assumptions!$B$32,0),IF(B29&lt;71,0,VLOOKUP(MIN(B29,95),Assumptions!$E$37:$F$61,2,TRUE()))*Z29))</f>
        <v>6392.64918487239</v>
      </c>
      <c r="H29" s="9" t="n">
        <f aca="false">D29+E29+F29+G29</f>
        <v>94190.0593175211</v>
      </c>
      <c r="I29" s="9" t="n">
        <f aca="false">IF(A29&gt;=Assumptions!$B$26,Assumptions!$B$14*(1+Assumptions!$B$6)^(A29-Assumptions!$B$26),0)</f>
        <v>37303.9981255268</v>
      </c>
      <c r="J29" s="9" t="n">
        <f aca="false">IF(A29&gt;=Assumptions!$B$27,Assumptions!$B$16,0)</f>
        <v>17185</v>
      </c>
      <c r="K29" s="9" t="n">
        <f aca="false">IF(A29&gt;=Assumptions!$B$27,Assumptions!$B$18,0)</f>
        <v>8917</v>
      </c>
      <c r="L29" s="9" t="n">
        <f aca="false">MIN(AA29,IF(C29&lt;71,0,VLOOKUP(MIN(C29,95),Assumptions!$E$37:$F$61,2,TRUE()))*AA29)</f>
        <v>20431.8712525086</v>
      </c>
      <c r="M29" s="9" t="n">
        <f aca="false">I29+J29+K29+L29</f>
        <v>83837.8693780354</v>
      </c>
      <c r="N29" s="9" t="n">
        <f aca="false">D29+G29</f>
        <v>59583.0593175211</v>
      </c>
      <c r="O29" s="9" t="n">
        <f aca="false">MIN(0.5*N29,MAX(0,(H29-M29)/2))</f>
        <v>5176.09496974287</v>
      </c>
      <c r="P29" s="9" t="n">
        <f aca="false">H29-O29</f>
        <v>89013.9643477782</v>
      </c>
      <c r="Q29" s="9" t="n">
        <f aca="false">M29+O29</f>
        <v>89013.9643477782</v>
      </c>
      <c r="R29" s="9" t="n">
        <f aca="false">SUMPRODUCT(Assumptions!$B$36:$B$42,(P29-Assumptions!$A$36:$A$42)*((P29-Assumptions!$A$36:$A$42)&gt;0))</f>
        <v>17963.6341260724</v>
      </c>
      <c r="S29" s="9" t="n">
        <f aca="false">SUMPRODUCT(Assumptions!$B$36:$B$42,(Q29-Assumptions!$A$36:$A$42)*((Q29-Assumptions!$A$36:$A$42)&gt;0))</f>
        <v>17963.6341260724</v>
      </c>
      <c r="T29" s="9" t="n">
        <f aca="false">IF(B29&gt;=65,MIN(F29,Assumptions!$B$9*MAX(0,P29-Assumptions!$B$8)),0)</f>
        <v>0</v>
      </c>
      <c r="U29" s="9" t="n">
        <f aca="false">IF(C29&gt;=65,MIN(K29,Assumptions!$B$9*MAX(0,Q29-Assumptions!$B$8)),0)</f>
        <v>0</v>
      </c>
      <c r="V29" s="9" t="n">
        <f aca="false">H29+M29-R29-S29-T29-U29</f>
        <v>142100.660443412</v>
      </c>
      <c r="W29" s="9" t="n">
        <f aca="false">R29+S29+T29+U29</f>
        <v>35927.2682521447</v>
      </c>
      <c r="X29" s="9" t="n">
        <f aca="false">SUMPRODUCT(Assumptions!$B$36:$B$42,(H29-Assumptions!$A$36:$A$42)*((H29-Assumptions!$A$36:$A$42)&gt;0))+SUMPRODUCT(Assumptions!$B$36:$B$42,(M29-Assumptions!$A$36:$A$42)*((M29-Assumptions!$A$36:$A$42)&gt;0))+IF(B29&gt;=65,MIN(F29,Assumptions!$B$9*MAX(0,H29-Assumptions!$B$8)),0)+IF(C29&gt;=65,MIN(K29,Assumptions!$B$9*MAX(0,M29-Assumptions!$B$8)),0)</f>
        <v>35927.2682521447</v>
      </c>
      <c r="Y29" s="10" t="n">
        <f aca="false">X29-W29</f>
        <v>0</v>
      </c>
      <c r="Z29" s="11" t="n">
        <f aca="false">(Z28-G28)*(1+Assumptions!$B$7)</f>
        <v>58167.8724738162</v>
      </c>
      <c r="AA29" s="11" t="n">
        <f aca="false">(AA28-L28)*(1+Assumptions!$B$7)</f>
        <v>227273.317602988</v>
      </c>
    </row>
    <row r="30" customFormat="false" ht="15" hidden="false" customHeight="false" outlineLevel="0" collapsed="false">
      <c r="A30" s="8" t="n">
        <v>2055</v>
      </c>
      <c r="B30" s="8" t="n">
        <f aca="false">A30-Assumptions!$B$29</f>
        <v>90</v>
      </c>
      <c r="C30" s="8" t="n">
        <f aca="false">A30-Assumptions!$B$30</f>
        <v>87</v>
      </c>
      <c r="D30" s="9" t="n">
        <f aca="false">IF(A30&gt;=Assumptions!$B$23,Assumptions!$B$13*(1+Assumptions!$B$6)^(A30-Assumptions!$B$23),0)</f>
        <v>52658.5060313222</v>
      </c>
      <c r="E30" s="9" t="n">
        <f aca="false">IF(A30&gt;=Assumptions!$B$24,Assumptions!$B$15,0)</f>
        <v>25690</v>
      </c>
      <c r="F30" s="9" t="n">
        <f aca="false">IF(A30&gt;=Assumptions!$B$23,Assumptions!$B$17,0)</f>
        <v>8917</v>
      </c>
      <c r="G30" s="9" t="n">
        <f aca="false">MIN(Z30,MAX(IF(AND(A30&gt;=2030,A30&lt;=2034),Assumptions!$B$32,0),IF(B30&lt;71,0,VLOOKUP(MIN(B30,95),Assumptions!$E$37:$F$61,2,TRUE()))*Z30))</f>
        <v>6356.75481452336</v>
      </c>
      <c r="H30" s="9" t="n">
        <f aca="false">D30+E30+F30+G30</f>
        <v>93622.2608458456</v>
      </c>
      <c r="I30" s="9" t="n">
        <f aca="false">IF(A30&gt;=Assumptions!$B$26,Assumptions!$B$14*(1+Assumptions!$B$6)^(A30-Assumptions!$B$26),0)</f>
        <v>36930.9581442715</v>
      </c>
      <c r="J30" s="9" t="n">
        <f aca="false">IF(A30&gt;=Assumptions!$B$27,Assumptions!$B$16,0)</f>
        <v>17185</v>
      </c>
      <c r="K30" s="9" t="n">
        <f aca="false">IF(A30&gt;=Assumptions!$B$27,Assumptions!$B$18,0)</f>
        <v>8917</v>
      </c>
      <c r="L30" s="9" t="n">
        <f aca="false">MIN(AA30,IF(C30&lt;71,0,VLOOKUP(MIN(C30,95),Assumptions!$E$37:$F$61,2,TRUE()))*AA30)</f>
        <v>20345.9588702649</v>
      </c>
      <c r="M30" s="9" t="n">
        <f aca="false">I30+J30+K30+L30</f>
        <v>83378.9170145364</v>
      </c>
      <c r="N30" s="9" t="n">
        <f aca="false">D30+G30</f>
        <v>59015.2608458456</v>
      </c>
      <c r="O30" s="9" t="n">
        <f aca="false">MIN(0.5*N30,MAX(0,(H30-M30)/2))</f>
        <v>5121.6719156546</v>
      </c>
      <c r="P30" s="9" t="n">
        <f aca="false">H30-O30</f>
        <v>88500.588930191</v>
      </c>
      <c r="Q30" s="9" t="n">
        <f aca="false">M30+O30</f>
        <v>88500.588930191</v>
      </c>
      <c r="R30" s="9" t="n">
        <f aca="false">SUMPRODUCT(Assumptions!$B$36:$B$42,(P30-Assumptions!$A$36:$A$42)*((P30-Assumptions!$A$36:$A$42)&gt;0))</f>
        <v>17807.0546237083</v>
      </c>
      <c r="S30" s="9" t="n">
        <f aca="false">SUMPRODUCT(Assumptions!$B$36:$B$42,(Q30-Assumptions!$A$36:$A$42)*((Q30-Assumptions!$A$36:$A$42)&gt;0))</f>
        <v>17807.0546237083</v>
      </c>
      <c r="T30" s="9" t="n">
        <f aca="false">IF(B30&gt;=65,MIN(F30,Assumptions!$B$9*MAX(0,P30-Assumptions!$B$8)),0)</f>
        <v>0</v>
      </c>
      <c r="U30" s="9" t="n">
        <f aca="false">IF(C30&gt;=65,MIN(K30,Assumptions!$B$9*MAX(0,Q30-Assumptions!$B$8)),0)</f>
        <v>0</v>
      </c>
      <c r="V30" s="9" t="n">
        <f aca="false">H30+M30-R30-S30-T30-U30</f>
        <v>141387.068612966</v>
      </c>
      <c r="W30" s="9" t="n">
        <f aca="false">R30+S30+T30+U30</f>
        <v>35614.1092474165</v>
      </c>
      <c r="X30" s="9" t="n">
        <f aca="false">SUMPRODUCT(Assumptions!$B$36:$B$42,(H30-Assumptions!$A$36:$A$42)*((H30-Assumptions!$A$36:$A$42)&gt;0))+SUMPRODUCT(Assumptions!$B$36:$B$42,(M30-Assumptions!$A$36:$A$42)*((M30-Assumptions!$A$36:$A$42)&gt;0))+IF(B30&gt;=65,MIN(F30,Assumptions!$B$9*MAX(0,H30-Assumptions!$B$8)),0)+IF(C30&gt;=65,MIN(K30,Assumptions!$B$9*MAX(0,M30-Assumptions!$B$8)),0)</f>
        <v>35614.1092474165</v>
      </c>
      <c r="Y30" s="10" t="n">
        <f aca="false">X30-W30</f>
        <v>0</v>
      </c>
      <c r="Z30" s="11" t="n">
        <f aca="false">(Z29-G29)*(1+Assumptions!$B$7)</f>
        <v>53328.4799876121</v>
      </c>
      <c r="AA30" s="11" t="n">
        <f aca="false">(AA29-L29)*(1+Assumptions!$B$7)</f>
        <v>213046.689740994</v>
      </c>
    </row>
    <row r="31" customFormat="false" ht="15" hidden="false" customHeight="false" outlineLevel="0" collapsed="false">
      <c r="A31" s="12" t="s">
        <v>27</v>
      </c>
      <c r="V31" s="13" t="n">
        <f aca="false">SUM(V5:V30)</f>
        <v>3695896.19454018</v>
      </c>
      <c r="W31" s="13" t="n">
        <f aca="false">SUM(W5:W30)</f>
        <v>936096.765344928</v>
      </c>
      <c r="X31" s="13" t="n">
        <f aca="false">SUM(X5:X30)</f>
        <v>954066.939255519</v>
      </c>
      <c r="Y31" s="14" t="n">
        <f aca="false">SUM(Y5:Y30)</f>
        <v>17970.1739105906</v>
      </c>
    </row>
  </sheetData>
  <mergeCells count="2">
    <mergeCell ref="A1:Y1"/>
    <mergeCell ref="A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28</v>
      </c>
      <c r="B1" s="1"/>
      <c r="C1" s="1"/>
    </row>
    <row r="2" customFormat="false" ht="15" hidden="false" customHeight="false" outlineLevel="0" collapsed="false">
      <c r="A2" s="2" t="s">
        <v>29</v>
      </c>
      <c r="B2" s="2"/>
      <c r="C2" s="2"/>
    </row>
    <row r="3" customFormat="false" ht="15" hidden="false" customHeight="false" outlineLevel="0" collapsed="false">
      <c r="A3" s="15" t="s">
        <v>30</v>
      </c>
      <c r="B3" s="15"/>
      <c r="C3" s="15"/>
    </row>
    <row r="4" customFormat="false" ht="15" hidden="false" customHeight="false" outlineLevel="0" collapsed="false">
      <c r="A4" s="16" t="s">
        <v>31</v>
      </c>
      <c r="B4" s="17"/>
      <c r="C4" s="17"/>
    </row>
    <row r="5" customFormat="false" ht="15" hidden="false" customHeight="false" outlineLevel="0" collapsed="false">
      <c r="A5" s="18" t="s">
        <v>32</v>
      </c>
      <c r="B5" s="19" t="n">
        <v>0.025</v>
      </c>
    </row>
    <row r="6" customFormat="false" ht="15" hidden="false" customHeight="false" outlineLevel="0" collapsed="false">
      <c r="A6" s="18" t="s">
        <v>33</v>
      </c>
      <c r="B6" s="19" t="n">
        <v>-0.01</v>
      </c>
    </row>
    <row r="7" customFormat="false" ht="15" hidden="false" customHeight="false" outlineLevel="0" collapsed="false">
      <c r="A7" s="18" t="s">
        <v>34</v>
      </c>
      <c r="B7" s="19" t="n">
        <v>0.03</v>
      </c>
    </row>
    <row r="8" customFormat="false" ht="15" hidden="false" customHeight="false" outlineLevel="0" collapsed="false">
      <c r="A8" s="18" t="s">
        <v>35</v>
      </c>
      <c r="B8" s="20" t="n">
        <v>95323</v>
      </c>
    </row>
    <row r="9" customFormat="false" ht="15" hidden="false" customHeight="false" outlineLevel="0" collapsed="false">
      <c r="A9" s="18" t="s">
        <v>36</v>
      </c>
      <c r="B9" s="19" t="n">
        <v>0.15</v>
      </c>
    </row>
    <row r="10" customFormat="false" ht="15" hidden="false" customHeight="false" outlineLevel="0" collapsed="false">
      <c r="A10" s="18" t="s">
        <v>37</v>
      </c>
      <c r="B10" s="20" t="n">
        <v>21000</v>
      </c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6" t="s">
        <v>38</v>
      </c>
      <c r="B12" s="17"/>
      <c r="C12" s="17"/>
    </row>
    <row r="13" customFormat="false" ht="15" hidden="false" customHeight="false" outlineLevel="0" collapsed="false">
      <c r="A13" s="18" t="s">
        <v>39</v>
      </c>
      <c r="B13" s="20" t="n">
        <v>67700</v>
      </c>
      <c r="C13" s="21" t="s">
        <v>40</v>
      </c>
    </row>
    <row r="14" customFormat="false" ht="15" hidden="false" customHeight="false" outlineLevel="0" collapsed="false">
      <c r="A14" s="18" t="s">
        <v>41</v>
      </c>
      <c r="B14" s="20" t="n">
        <v>47480</v>
      </c>
      <c r="C14" s="21" t="s">
        <v>40</v>
      </c>
    </row>
    <row r="15" customFormat="false" ht="15" hidden="false" customHeight="false" outlineLevel="0" collapsed="false">
      <c r="A15" s="18" t="s">
        <v>42</v>
      </c>
      <c r="B15" s="20" t="n">
        <v>25690</v>
      </c>
      <c r="C15" s="21" t="s">
        <v>43</v>
      </c>
    </row>
    <row r="16" customFormat="false" ht="15" hidden="false" customHeight="false" outlineLevel="0" collapsed="false">
      <c r="A16" s="18" t="s">
        <v>44</v>
      </c>
      <c r="B16" s="20" t="n">
        <v>17185</v>
      </c>
      <c r="C16" s="21" t="s">
        <v>45</v>
      </c>
    </row>
    <row r="17" customFormat="false" ht="15" hidden="false" customHeight="false" outlineLevel="0" collapsed="false">
      <c r="A17" s="18" t="s">
        <v>46</v>
      </c>
      <c r="B17" s="20" t="n">
        <v>8917</v>
      </c>
      <c r="C17" s="21" t="s">
        <v>47</v>
      </c>
    </row>
    <row r="18" customFormat="false" ht="15" hidden="false" customHeight="false" outlineLevel="0" collapsed="false">
      <c r="A18" s="18" t="s">
        <v>48</v>
      </c>
      <c r="B18" s="20" t="n">
        <v>8917</v>
      </c>
      <c r="C18" s="21" t="s">
        <v>47</v>
      </c>
    </row>
    <row r="19" customFormat="false" ht="15" hidden="false" customHeight="false" outlineLevel="0" collapsed="false">
      <c r="A19" s="18" t="s">
        <v>49</v>
      </c>
      <c r="B19" s="20" t="n">
        <v>200000</v>
      </c>
      <c r="C19" s="21" t="s">
        <v>50</v>
      </c>
    </row>
    <row r="20" customFormat="false" ht="15" hidden="false" customHeight="false" outlineLevel="0" collapsed="false">
      <c r="A20" s="18" t="s">
        <v>51</v>
      </c>
      <c r="B20" s="20" t="n">
        <v>275000</v>
      </c>
      <c r="C20" s="21" t="s">
        <v>50</v>
      </c>
    </row>
    <row r="21" customFormat="false" ht="15" hidden="false" customHeight="false" outlineLevel="0" collapsed="false">
      <c r="A21" s="18"/>
    </row>
    <row r="22" customFormat="false" ht="15" hidden="false" customHeight="false" outlineLevel="0" collapsed="false">
      <c r="A22" s="16" t="s">
        <v>52</v>
      </c>
      <c r="B22" s="17"/>
      <c r="C22" s="17"/>
    </row>
    <row r="23" customFormat="false" ht="15" hidden="false" customHeight="false" outlineLevel="0" collapsed="false">
      <c r="A23" s="18" t="s">
        <v>53</v>
      </c>
      <c r="B23" s="22" t="n">
        <v>2030</v>
      </c>
    </row>
    <row r="24" customFormat="false" ht="15" hidden="false" customHeight="false" outlineLevel="0" collapsed="false">
      <c r="A24" s="18" t="s">
        <v>54</v>
      </c>
      <c r="B24" s="22" t="n">
        <v>2035</v>
      </c>
    </row>
    <row r="25" customFormat="false" ht="15" hidden="false" customHeight="false" outlineLevel="0" collapsed="false">
      <c r="A25" s="18" t="s">
        <v>55</v>
      </c>
      <c r="B25" s="22" t="n">
        <v>2036</v>
      </c>
    </row>
    <row r="26" customFormat="false" ht="15" hidden="false" customHeight="false" outlineLevel="0" collapsed="false">
      <c r="A26" s="18" t="s">
        <v>56</v>
      </c>
      <c r="B26" s="22" t="n">
        <v>2030</v>
      </c>
    </row>
    <row r="27" customFormat="false" ht="15" hidden="false" customHeight="false" outlineLevel="0" collapsed="false">
      <c r="A27" s="18" t="s">
        <v>57</v>
      </c>
      <c r="B27" s="22" t="n">
        <v>2033</v>
      </c>
    </row>
    <row r="28" customFormat="false" ht="15" hidden="false" customHeight="false" outlineLevel="0" collapsed="false">
      <c r="A28" s="18" t="s">
        <v>58</v>
      </c>
      <c r="B28" s="22" t="n">
        <v>2039</v>
      </c>
    </row>
    <row r="29" customFormat="false" ht="15" hidden="false" customHeight="false" outlineLevel="0" collapsed="false">
      <c r="A29" s="18" t="s">
        <v>59</v>
      </c>
      <c r="B29" s="22" t="n">
        <v>1965</v>
      </c>
    </row>
    <row r="30" customFormat="false" ht="15" hidden="false" customHeight="false" outlineLevel="0" collapsed="false">
      <c r="A30" s="18" t="s">
        <v>60</v>
      </c>
      <c r="B30" s="22" t="n">
        <v>1968</v>
      </c>
    </row>
    <row r="31" customFormat="false" ht="15" hidden="false" customHeight="false" outlineLevel="0" collapsed="false">
      <c r="A31" s="18"/>
    </row>
    <row r="32" customFormat="false" ht="15" hidden="false" customHeight="false" outlineLevel="0" collapsed="false">
      <c r="A32" s="18" t="s">
        <v>61</v>
      </c>
      <c r="B32" s="20" t="n">
        <v>25000</v>
      </c>
    </row>
    <row r="33" customFormat="false" ht="15" hidden="false" customHeight="false" outlineLevel="0" collapsed="false">
      <c r="A33" s="21" t="s">
        <v>62</v>
      </c>
    </row>
    <row r="34" customFormat="false" ht="15" hidden="false" customHeight="false" outlineLevel="0" collapsed="false">
      <c r="A34" s="23" t="s">
        <v>63</v>
      </c>
      <c r="B34" s="23"/>
      <c r="C34" s="23"/>
    </row>
    <row r="35" customFormat="false" ht="15" hidden="false" customHeight="false" outlineLevel="0" collapsed="false">
      <c r="A35" s="12" t="s">
        <v>64</v>
      </c>
      <c r="B35" s="12" t="s">
        <v>65</v>
      </c>
      <c r="C35" s="12" t="s">
        <v>66</v>
      </c>
      <c r="E35" s="23" t="s">
        <v>67</v>
      </c>
      <c r="F35" s="23"/>
    </row>
    <row r="36" customFormat="false" ht="15" hidden="false" customHeight="false" outlineLevel="0" collapsed="false">
      <c r="A36" s="24" t="n">
        <v>21000</v>
      </c>
      <c r="B36" s="25" t="n">
        <v>0.23</v>
      </c>
      <c r="C36" s="26" t="n">
        <v>0.23</v>
      </c>
      <c r="E36" s="12" t="s">
        <v>68</v>
      </c>
      <c r="F36" s="12" t="s">
        <v>69</v>
      </c>
    </row>
    <row r="37" customFormat="false" ht="15" hidden="false" customHeight="false" outlineLevel="0" collapsed="false">
      <c r="A37" s="24" t="n">
        <v>57375</v>
      </c>
      <c r="B37" s="25" t="n">
        <v>0.055</v>
      </c>
      <c r="C37" s="26" t="n">
        <v>0.285</v>
      </c>
      <c r="E37" s="27" t="n">
        <v>71</v>
      </c>
      <c r="F37" s="25" t="n">
        <v>0.0528</v>
      </c>
    </row>
    <row r="38" customFormat="false" ht="15" hidden="false" customHeight="false" outlineLevel="0" collapsed="false">
      <c r="A38" s="24" t="n">
        <v>60000</v>
      </c>
      <c r="B38" s="25" t="n">
        <v>0.02</v>
      </c>
      <c r="C38" s="26" t="n">
        <v>0.305</v>
      </c>
      <c r="E38" s="27" t="n">
        <v>72</v>
      </c>
      <c r="F38" s="25" t="n">
        <v>0.054</v>
      </c>
    </row>
    <row r="39" customFormat="false" ht="15" hidden="false" customHeight="false" outlineLevel="0" collapsed="false">
      <c r="A39" s="24" t="n">
        <v>114750</v>
      </c>
      <c r="B39" s="25" t="n">
        <v>0.055</v>
      </c>
      <c r="C39" s="26" t="n">
        <v>0.36</v>
      </c>
      <c r="E39" s="27" t="n">
        <v>73</v>
      </c>
      <c r="F39" s="25" t="n">
        <v>0.0553</v>
      </c>
    </row>
    <row r="40" customFormat="false" ht="15" hidden="false" customHeight="false" outlineLevel="0" collapsed="false">
      <c r="A40" s="24" t="n">
        <v>151234</v>
      </c>
      <c r="B40" s="25" t="n">
        <v>0.02</v>
      </c>
      <c r="C40" s="26" t="n">
        <v>0.38</v>
      </c>
      <c r="E40" s="27" t="n">
        <v>74</v>
      </c>
      <c r="F40" s="25" t="n">
        <v>0.0567</v>
      </c>
    </row>
    <row r="41" customFormat="false" ht="15" hidden="false" customHeight="false" outlineLevel="0" collapsed="false">
      <c r="A41" s="24" t="n">
        <v>177882</v>
      </c>
      <c r="B41" s="25" t="n">
        <v>0.03</v>
      </c>
      <c r="C41" s="26" t="n">
        <v>0.41</v>
      </c>
      <c r="E41" s="27" t="n">
        <v>75</v>
      </c>
      <c r="F41" s="25" t="n">
        <v>0.0582</v>
      </c>
    </row>
    <row r="42" customFormat="false" ht="15" hidden="false" customHeight="false" outlineLevel="0" collapsed="false">
      <c r="A42" s="24" t="n">
        <v>181481</v>
      </c>
      <c r="B42" s="25" t="n">
        <v>0.01</v>
      </c>
      <c r="C42" s="26" t="n">
        <v>0.42</v>
      </c>
      <c r="E42" s="27" t="n">
        <v>76</v>
      </c>
      <c r="F42" s="25" t="n">
        <v>0.0598</v>
      </c>
    </row>
    <row r="43" customFormat="false" ht="15" hidden="false" customHeight="false" outlineLevel="0" collapsed="false">
      <c r="E43" s="27" t="n">
        <v>77</v>
      </c>
      <c r="F43" s="25" t="n">
        <v>0.0617</v>
      </c>
    </row>
    <row r="44" customFormat="false" ht="15" hidden="false" customHeight="false" outlineLevel="0" collapsed="false">
      <c r="E44" s="27" t="n">
        <v>78</v>
      </c>
      <c r="F44" s="25" t="n">
        <v>0.0636</v>
      </c>
    </row>
    <row r="45" customFormat="false" ht="15" hidden="false" customHeight="false" outlineLevel="0" collapsed="false">
      <c r="E45" s="27" t="n">
        <v>79</v>
      </c>
      <c r="F45" s="25" t="n">
        <v>0.0658</v>
      </c>
    </row>
    <row r="46" customFormat="false" ht="15" hidden="false" customHeight="false" outlineLevel="0" collapsed="false">
      <c r="E46" s="27" t="n">
        <v>80</v>
      </c>
      <c r="F46" s="25" t="n">
        <v>0.0682</v>
      </c>
    </row>
    <row r="47" customFormat="false" ht="15" hidden="false" customHeight="false" outlineLevel="0" collapsed="false">
      <c r="E47" s="27" t="n">
        <v>81</v>
      </c>
      <c r="F47" s="25" t="n">
        <v>0.0708</v>
      </c>
    </row>
    <row r="48" customFormat="false" ht="15" hidden="false" customHeight="false" outlineLevel="0" collapsed="false">
      <c r="E48" s="27" t="n">
        <v>82</v>
      </c>
      <c r="F48" s="25" t="n">
        <v>0.0738</v>
      </c>
    </row>
    <row r="49" customFormat="false" ht="15" hidden="false" customHeight="false" outlineLevel="0" collapsed="false">
      <c r="E49" s="27" t="n">
        <v>83</v>
      </c>
      <c r="F49" s="25" t="n">
        <v>0.0771</v>
      </c>
    </row>
    <row r="50" customFormat="false" ht="15" hidden="false" customHeight="false" outlineLevel="0" collapsed="false">
      <c r="E50" s="27" t="n">
        <v>84</v>
      </c>
      <c r="F50" s="25" t="n">
        <v>0.0808</v>
      </c>
    </row>
    <row r="51" customFormat="false" ht="15" hidden="false" customHeight="false" outlineLevel="0" collapsed="false">
      <c r="E51" s="27" t="n">
        <v>85</v>
      </c>
      <c r="F51" s="25" t="n">
        <v>0.0851</v>
      </c>
    </row>
    <row r="52" customFormat="false" ht="15" hidden="false" customHeight="false" outlineLevel="0" collapsed="false">
      <c r="E52" s="27" t="n">
        <v>86</v>
      </c>
      <c r="F52" s="25" t="n">
        <v>0.0899</v>
      </c>
    </row>
    <row r="53" customFormat="false" ht="15" hidden="false" customHeight="false" outlineLevel="0" collapsed="false">
      <c r="E53" s="27" t="n">
        <v>87</v>
      </c>
      <c r="F53" s="25" t="n">
        <v>0.0955</v>
      </c>
    </row>
    <row r="54" customFormat="false" ht="15" hidden="false" customHeight="false" outlineLevel="0" collapsed="false">
      <c r="E54" s="27" t="n">
        <v>88</v>
      </c>
      <c r="F54" s="25" t="n">
        <v>0.1021</v>
      </c>
    </row>
    <row r="55" customFormat="false" ht="15" hidden="false" customHeight="false" outlineLevel="0" collapsed="false">
      <c r="E55" s="27" t="n">
        <v>89</v>
      </c>
      <c r="F55" s="25" t="n">
        <v>0.1099</v>
      </c>
    </row>
    <row r="56" customFormat="false" ht="15" hidden="false" customHeight="false" outlineLevel="0" collapsed="false">
      <c r="E56" s="27" t="n">
        <v>90</v>
      </c>
      <c r="F56" s="25" t="n">
        <v>0.1192</v>
      </c>
    </row>
    <row r="57" customFormat="false" ht="15" hidden="false" customHeight="false" outlineLevel="0" collapsed="false">
      <c r="E57" s="27" t="n">
        <v>91</v>
      </c>
      <c r="F57" s="25" t="n">
        <v>0.1306</v>
      </c>
    </row>
    <row r="58" customFormat="false" ht="15" hidden="false" customHeight="false" outlineLevel="0" collapsed="false">
      <c r="E58" s="27" t="n">
        <v>92</v>
      </c>
      <c r="F58" s="25" t="n">
        <v>0.1449</v>
      </c>
    </row>
    <row r="59" customFormat="false" ht="15" hidden="false" customHeight="false" outlineLevel="0" collapsed="false">
      <c r="E59" s="27" t="n">
        <v>93</v>
      </c>
      <c r="F59" s="25" t="n">
        <v>0.1634</v>
      </c>
    </row>
    <row r="60" customFormat="false" ht="15" hidden="false" customHeight="false" outlineLevel="0" collapsed="false">
      <c r="E60" s="27" t="n">
        <v>94</v>
      </c>
      <c r="F60" s="25" t="n">
        <v>0.1879</v>
      </c>
    </row>
    <row r="61" customFormat="false" ht="15" hidden="false" customHeight="false" outlineLevel="0" collapsed="false">
      <c r="E61" s="27" t="n">
        <v>95</v>
      </c>
      <c r="F61" s="25" t="n">
        <v>0.2</v>
      </c>
    </row>
  </sheetData>
  <mergeCells count="5">
    <mergeCell ref="A1:C1"/>
    <mergeCell ref="A2:C2"/>
    <mergeCell ref="A3:C3"/>
    <mergeCell ref="A34:C34"/>
    <mergeCell ref="E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2026-06-28T22:47:57Z</dcterms:created>
  <dc:creator>openpyxl</dc:creator>
  <dc:description/>
  <dc:language>en-US</dc:language>
  <cp:lastModifiedBy/>
  <dcterms:modified xsi:type="dcterms:W3CDTF">2026-06-28T22:47:57Z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