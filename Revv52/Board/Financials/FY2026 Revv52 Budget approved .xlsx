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/>
  <calcPr/>
  <extLst>
    <ext uri="GoogleSheetsCustomDataVersion2">
      <go:sheetsCustomData xmlns:go="http://customooxmlschemas.google.com/" r:id="rId5" roundtripDataChecksum="g2aMft2ZboaDzJ1R6jOMFx6moiIm9qgdSqgTGoWSZNs="/>
    </ext>
  </extLst>
</workbook>
</file>

<file path=xl/sharedStrings.xml><?xml version="1.0" encoding="utf-8"?>
<sst xmlns="http://schemas.openxmlformats.org/spreadsheetml/2006/main" count="150" uniqueCount="146">
  <si>
    <t>Revv52 | Calgary Choral Society</t>
  </si>
  <si>
    <t>2025/26BUDGET</t>
  </si>
  <si>
    <t>Budget Overview: Base Budget - FY24 P&amp;L  Classes</t>
  </si>
  <si>
    <t>August 2025- July 2026</t>
  </si>
  <si>
    <t>A1 - GENERAL</t>
  </si>
  <si>
    <t>A2 - PROJECTS</t>
  </si>
  <si>
    <t>A3 - REMIX</t>
  </si>
  <si>
    <t>A4 - GALA Royalty</t>
  </si>
  <si>
    <t>C2205 - A Night at the Movies</t>
  </si>
  <si>
    <t>C2405 - Classical Collision</t>
  </si>
  <si>
    <t>TOTAL</t>
  </si>
  <si>
    <t>Income</t>
  </si>
  <si>
    <t>Notes</t>
  </si>
  <si>
    <t>Membership Revenues</t>
  </si>
  <si>
    <t>Member Dues</t>
  </si>
  <si>
    <t>- $500 annual membership, 52 members</t>
  </si>
  <si>
    <t>Total Membership Revenues</t>
  </si>
  <si>
    <t>Private Funding</t>
  </si>
  <si>
    <t>Sustaining Donors</t>
  </si>
  <si>
    <t xml:space="preserve">- 10 SDs </t>
  </si>
  <si>
    <t>Online Donations</t>
  </si>
  <si>
    <t>Other Donations</t>
  </si>
  <si>
    <t xml:space="preserve">- by mail; SD Event contribution from Ken; etc based on 2024/5 </t>
  </si>
  <si>
    <t>Silent Auction Sales</t>
  </si>
  <si>
    <t>- 2024 Gala auction sales</t>
  </si>
  <si>
    <t>Total Private Funding</t>
  </si>
  <si>
    <t>Public Funding</t>
  </si>
  <si>
    <t>AGLC Licenses</t>
  </si>
  <si>
    <t>-  total amount left in 2025 $7760-- 2025 casino will pay out Aug 2025</t>
  </si>
  <si>
    <t>casino Q2 2025 estimate of 40K +20 for 2026</t>
  </si>
  <si>
    <t>Government Grants</t>
  </si>
  <si>
    <t xml:space="preserve">- $35K for CAD; $28K for AFA.  Both could be higher. </t>
  </si>
  <si>
    <t>Total Public Funding</t>
  </si>
  <si>
    <t>Trade Revenues</t>
  </si>
  <si>
    <t>Merchandise Sales</t>
  </si>
  <si>
    <t>- was $772 in 2024/25 This year: Let it Be video (hoodies) and NYC (t-shirts)</t>
  </si>
  <si>
    <t>Performance Fees</t>
  </si>
  <si>
    <t>- BANC (projects); Remix has $18K booked so far</t>
  </si>
  <si>
    <t>Sound equipment rentals</t>
  </si>
  <si>
    <t>- single rental from Stampede</t>
  </si>
  <si>
    <t>Ticket Sales</t>
  </si>
  <si>
    <t>- Jan 2025 $89K; May 2025 $66K</t>
  </si>
  <si>
    <t>Concert Web Broadcast</t>
  </si>
  <si>
    <t>YouTube Revenue</t>
  </si>
  <si>
    <t>Total Trade Revenues</t>
  </si>
  <si>
    <t>Total Revenue</t>
  </si>
  <si>
    <t>Expenses</t>
  </si>
  <si>
    <t>Admin Team</t>
  </si>
  <si>
    <t>- member volunteers</t>
  </si>
  <si>
    <t>Accounting &amp; Bookkeeping</t>
  </si>
  <si>
    <t>- Wilson-Lentz 2024/25 charges</t>
  </si>
  <si>
    <t>Total Admin Team</t>
  </si>
  <si>
    <t>Administrative Systems</t>
  </si>
  <si>
    <t>- Quickbooks, Grasshopper, etc</t>
  </si>
  <si>
    <t>Bank charges</t>
  </si>
  <si>
    <t>- as per 2024/25</t>
  </si>
  <si>
    <t>Board Expenses</t>
  </si>
  <si>
    <t>Insurance (Directors)</t>
  </si>
  <si>
    <t>- as per 2024/25 (Intact)</t>
  </si>
  <si>
    <t>Insurance (property)</t>
  </si>
  <si>
    <t>- as per 2024/25 (Front Row)</t>
  </si>
  <si>
    <t>Insurance (Revvmobile)</t>
  </si>
  <si>
    <t>- new 2024/25  (Peace Hills)</t>
  </si>
  <si>
    <t>Vehicle expenses</t>
  </si>
  <si>
    <t>GST Expense</t>
  </si>
  <si>
    <t>-$8000 2024/25</t>
  </si>
  <si>
    <t>Legal Fees</t>
  </si>
  <si>
    <t>Strategic Planning</t>
  </si>
  <si>
    <t>Meals &amp; Entertainment</t>
  </si>
  <si>
    <t>- various rehearsal meals &amp; party expenses</t>
  </si>
  <si>
    <t>Supplies / Misc Repairs / Other/gas</t>
  </si>
  <si>
    <t>Ticketing Fees (incl comps)</t>
  </si>
  <si>
    <t>- as per JM budget</t>
  </si>
  <si>
    <t>Donation to a charity</t>
  </si>
  <si>
    <t>1% of our trade revenue</t>
  </si>
  <si>
    <t>Total Administrative Costs</t>
  </si>
  <si>
    <t>Development Costs</t>
  </si>
  <si>
    <t>Artistic Team</t>
  </si>
  <si>
    <t>Artistic Director</t>
  </si>
  <si>
    <t>- as per 2024/25 (+3% would be $54075)</t>
  </si>
  <si>
    <t>Choreography</t>
  </si>
  <si>
    <t xml:space="preserve">- as per 2024/25 </t>
  </si>
  <si>
    <t>Rehearsal Accompanist</t>
  </si>
  <si>
    <t>- increased for new $75/hr fee</t>
  </si>
  <si>
    <t>Rehearsal Sound Technician</t>
  </si>
  <si>
    <t>- just for Nairn &amp; Touby support for rehearsals; not for the programming rehearsals with Touby</t>
  </si>
  <si>
    <t>Vocal Coaching</t>
  </si>
  <si>
    <t>- as per JM show budget</t>
  </si>
  <si>
    <t>Workshop Leader</t>
  </si>
  <si>
    <t>Total Artistic Team</t>
  </si>
  <si>
    <t>Musical Arrangements</t>
  </si>
  <si>
    <t>Rehearsal Tracks</t>
  </si>
  <si>
    <t>- was $4100 in 2023/24</t>
  </si>
  <si>
    <t>Rehearsal Space</t>
  </si>
  <si>
    <t>- as per 2023/24; Remix rehearses at Cornerstone and we buy tons of food/booze</t>
  </si>
  <si>
    <t>Total Music and Space</t>
  </si>
  <si>
    <t>Total Development Costs</t>
  </si>
  <si>
    <t>Marketing &amp; Promotion</t>
  </si>
  <si>
    <t>Program Printing</t>
  </si>
  <si>
    <t>Promoter / Publicist</t>
  </si>
  <si>
    <t>Promotional Materials</t>
  </si>
  <si>
    <t>- incl posters, graphics, ClaudiaT</t>
  </si>
  <si>
    <t>Social Media</t>
  </si>
  <si>
    <t>-leaving the same but was much lower 2024/25</t>
  </si>
  <si>
    <t>Website &amp; Internet Marketing</t>
  </si>
  <si>
    <t>Post Production</t>
  </si>
  <si>
    <t>Audio $3000 Video $2500</t>
  </si>
  <si>
    <t>Total Marketing &amp; Promotion</t>
  </si>
  <si>
    <t>Production Costs</t>
  </si>
  <si>
    <t>- most Prod numbers from JM budget</t>
  </si>
  <si>
    <t>Audio Engineering</t>
  </si>
  <si>
    <t>- Undefined projects; 6 for Remix @ $250; Gala as per 2024; shows JN &amp; TK GH 9545 FF 7000 so I increased JM's estimate a bit</t>
  </si>
  <si>
    <t>Equipment Rental (Production)</t>
  </si>
  <si>
    <t>Gala Show - Risers, January Show - Screens and Projectors</t>
  </si>
  <si>
    <t>Licensing</t>
  </si>
  <si>
    <t>- directly tied to show revenue above (3%) GH: ?   FF: 2014</t>
  </si>
  <si>
    <t>Lighting</t>
  </si>
  <si>
    <t xml:space="preserve">- 24/25 $8684Jan, uncertain of May :-(  </t>
  </si>
  <si>
    <t>Meals &amp; Entertainment - production</t>
  </si>
  <si>
    <t>Musicians &amp; Guest Performers</t>
  </si>
  <si>
    <t>- $1000 on average for each Remix gig (6)</t>
  </si>
  <si>
    <t>Production Crew</t>
  </si>
  <si>
    <t>- incl stage mgr for Jan</t>
  </si>
  <si>
    <t>Set Design (staging &amp; blocking)</t>
  </si>
  <si>
    <t>- Gala #s from 2024/25</t>
  </si>
  <si>
    <t>Venue</t>
  </si>
  <si>
    <t xml:space="preserve">- actuals for January:  $38,734;  May:  $37,079; </t>
  </si>
  <si>
    <t>SEE ABOVE</t>
  </si>
  <si>
    <t>Videography</t>
  </si>
  <si>
    <t>Wardrobe &amp; Makeup</t>
  </si>
  <si>
    <t>Total Production Costs</t>
  </si>
  <si>
    <t>Total Expenses</t>
  </si>
  <si>
    <t>NET OPERATING INCOME</t>
  </si>
  <si>
    <t>Other Income</t>
  </si>
  <si>
    <t>Interest earned</t>
  </si>
  <si>
    <t>GIC interest</t>
  </si>
  <si>
    <t>GST receivable</t>
  </si>
  <si>
    <t>Total Other Income</t>
  </si>
  <si>
    <t>Other Expenses</t>
  </si>
  <si>
    <t>amortization</t>
  </si>
  <si>
    <t>Interest on long term loan</t>
  </si>
  <si>
    <t>- Updated based on monthly loan schedule</t>
  </si>
  <si>
    <t>Total Other Expenses</t>
  </si>
  <si>
    <t>Calgry Fdn Loan amortization table (monthly)</t>
  </si>
  <si>
    <t>NET OTHER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</si>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</sst>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#,##0.00\ _€"/>
  </numFmts>
  <fonts count="9">
    <font>
      <sz val="10.0"/>
      <color rgb="FF000000"/>
      <name val="Arial"/>
      <scheme val="minor"/>
    </font>
    <font>
      <color theme="1"/>
      <name val="Arial"/>
    </font>
    <font>
      <b/>
      <sz val="20.0"/>
      <color rgb="FF4A86E8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u/>
      <color theme="1"/>
      <name val="Arial"/>
      <scheme val="minor"/>
    </font>
    <font>
      <b/>
      <sz val="16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3">
    <border/>
    <border>
      <top style="thin">
        <color rgb="FF000000"/>
      </top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1" fillId="0" fontId="4" numFmtId="0" xfId="0" applyBorder="1" applyFont="1"/>
    <xf borderId="1" fillId="0" fontId="4" numFmtId="164" xfId="0" applyAlignment="1" applyBorder="1" applyFont="1" applyNumberFormat="1">
      <alignment horizontal="right"/>
    </xf>
    <xf borderId="1" fillId="0" fontId="4" numFmtId="2" xfId="0" applyAlignment="1" applyBorder="1" applyFont="1" applyNumberFormat="1">
      <alignment horizontal="right"/>
    </xf>
    <xf borderId="1" fillId="0" fontId="4" numFmtId="4" xfId="0" applyAlignment="1" applyBorder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1" numFmtId="2" xfId="0" applyAlignment="1" applyFont="1" applyNumberFormat="1">
      <alignment horizontal="right" readingOrder="0"/>
    </xf>
    <xf borderId="0" fillId="2" fontId="1" numFmtId="164" xfId="0" applyAlignment="1" applyFill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right"/>
    </xf>
    <xf borderId="1" fillId="0" fontId="1" numFmtId="164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0" fillId="3" fontId="1" numFmtId="164" xfId="0" applyAlignment="1" applyFont="1" applyNumberFormat="1">
      <alignment horizontal="right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4" numFmtId="0" xfId="0" applyFont="1"/>
    <xf borderId="1" fillId="0" fontId="3" numFmtId="0" xfId="0" applyBorder="1" applyFont="1"/>
    <xf borderId="0" fillId="0" fontId="3" numFmtId="0" xfId="0" applyAlignment="1" applyFont="1">
      <alignment horizontal="left"/>
    </xf>
    <xf borderId="0" fillId="0" fontId="4" numFmtId="164" xfId="0" applyAlignment="1" applyFont="1" applyNumberFormat="1">
      <alignment horizontal="right"/>
    </xf>
    <xf borderId="0" fillId="0" fontId="6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6" fontId="1" numFmtId="0" xfId="0" applyFill="1" applyFont="1"/>
    <xf borderId="0" fillId="2" fontId="1" numFmtId="0" xfId="0" applyFont="1"/>
    <xf borderId="0" fillId="0" fontId="4" numFmtId="164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SZeooeu5oUNEXJ98MZ3k7_Mok3qmRW7x4iOYECT9IU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13"/>
    <col customWidth="1" min="2" max="2" width="15.0"/>
    <col customWidth="1" min="3" max="3" width="15.88"/>
    <col customWidth="1" min="4" max="4" width="9.88"/>
    <col customWidth="1" min="5" max="5" width="11.88"/>
    <col customWidth="1" min="6" max="6" width="14.75"/>
    <col customWidth="1" min="7" max="7" width="11.38"/>
    <col customWidth="1" min="8" max="8" width="10.25"/>
    <col customWidth="1" min="9" max="9" width="5.5"/>
    <col customWidth="1" min="10" max="10" width="25.88"/>
    <col customWidth="1" min="11" max="11" width="40.0"/>
    <col customWidth="1" min="12" max="26" width="8.0"/>
  </cols>
  <sheetData>
    <row r="1" ht="12.75" customHeight="1">
      <c r="B1" s="1" t="s">
        <v>0</v>
      </c>
    </row>
    <row r="2" ht="45.75" customHeight="1">
      <c r="A2" s="2" t="s">
        <v>1</v>
      </c>
      <c r="B2" s="1" t="s">
        <v>2</v>
      </c>
      <c r="J2" s="2"/>
    </row>
    <row r="3" ht="12.75" customHeight="1">
      <c r="C3" s="3" t="s">
        <v>3</v>
      </c>
    </row>
    <row r="4">
      <c r="B4" s="1" t="s">
        <v>4</v>
      </c>
      <c r="C4" s="1" t="s">
        <v>5</v>
      </c>
      <c r="D4" s="1" t="s">
        <v>6</v>
      </c>
      <c r="E4" s="4" t="s">
        <v>7</v>
      </c>
      <c r="F4" s="4" t="s">
        <v>8</v>
      </c>
      <c r="G4" s="4" t="s">
        <v>9</v>
      </c>
      <c r="H4" s="1" t="s">
        <v>10</v>
      </c>
    </row>
    <row r="5" ht="12.75" customHeight="1">
      <c r="A5" s="5" t="s">
        <v>11</v>
      </c>
      <c r="B5" s="6"/>
      <c r="C5" s="6"/>
      <c r="D5" s="6"/>
      <c r="E5" s="6"/>
      <c r="F5" s="6"/>
      <c r="G5" s="6"/>
      <c r="H5" s="6"/>
      <c r="J5" s="1" t="s">
        <v>12</v>
      </c>
    </row>
    <row r="6" ht="12.75" customHeight="1">
      <c r="A6" s="6" t="s">
        <v>13</v>
      </c>
      <c r="B6" s="7"/>
      <c r="C6" s="6"/>
      <c r="D6" s="6"/>
      <c r="E6" s="6"/>
      <c r="F6" s="6"/>
      <c r="G6" s="6"/>
      <c r="H6" s="6"/>
    </row>
    <row r="7" ht="12.75" customHeight="1">
      <c r="A7" s="6" t="s">
        <v>14</v>
      </c>
      <c r="B7" s="8">
        <v>25000.0</v>
      </c>
      <c r="C7" s="6"/>
      <c r="D7" s="6"/>
      <c r="E7" s="6"/>
      <c r="F7" s="6"/>
      <c r="G7" s="6"/>
      <c r="H7" s="7">
        <f>sum(B7:G7)</f>
        <v>25000</v>
      </c>
      <c r="J7" s="1" t="s">
        <v>15</v>
      </c>
    </row>
    <row r="8" ht="12.75" customHeight="1">
      <c r="A8" s="9" t="s">
        <v>16</v>
      </c>
      <c r="B8" s="10">
        <f t="shared" ref="B8:H8" si="1">sum(B7)</f>
        <v>25000</v>
      </c>
      <c r="C8" s="11">
        <f t="shared" si="1"/>
        <v>0</v>
      </c>
      <c r="D8" s="11">
        <f t="shared" si="1"/>
        <v>0</v>
      </c>
      <c r="E8" s="11">
        <f t="shared" si="1"/>
        <v>0</v>
      </c>
      <c r="F8" s="11">
        <f t="shared" si="1"/>
        <v>0</v>
      </c>
      <c r="G8" s="11">
        <f t="shared" si="1"/>
        <v>0</v>
      </c>
      <c r="H8" s="12">
        <f t="shared" si="1"/>
        <v>25000</v>
      </c>
    </row>
    <row r="9" ht="12.75" customHeight="1">
      <c r="A9" s="5" t="s">
        <v>17</v>
      </c>
      <c r="B9" s="7"/>
      <c r="C9" s="6"/>
      <c r="D9" s="6"/>
      <c r="E9" s="6"/>
      <c r="F9" s="6"/>
      <c r="G9" s="6"/>
      <c r="H9" s="6"/>
    </row>
    <row r="10" ht="12.75" customHeight="1">
      <c r="A10" s="6" t="s">
        <v>18</v>
      </c>
      <c r="B10" s="7">
        <f>5000*10</f>
        <v>50000</v>
      </c>
      <c r="C10" s="6"/>
      <c r="D10" s="6"/>
      <c r="E10" s="6"/>
      <c r="F10" s="6"/>
      <c r="G10" s="6"/>
      <c r="H10" s="7">
        <f t="shared" ref="H10:H14" si="2">sum(B10:G10)</f>
        <v>50000</v>
      </c>
      <c r="J10" s="3" t="s">
        <v>19</v>
      </c>
    </row>
    <row r="11" ht="12.75" customHeight="1">
      <c r="A11" s="6" t="s">
        <v>20</v>
      </c>
      <c r="B11" s="7">
        <v>1000.0</v>
      </c>
      <c r="C11" s="6"/>
      <c r="D11" s="6"/>
      <c r="E11" s="13"/>
      <c r="F11" s="6"/>
      <c r="G11" s="6"/>
      <c r="H11" s="7">
        <f t="shared" si="2"/>
        <v>1000</v>
      </c>
      <c r="J11" s="3"/>
    </row>
    <row r="12" ht="12.75" customHeight="1">
      <c r="A12" s="6" t="s">
        <v>21</v>
      </c>
      <c r="B12" s="7">
        <f>15000+6200</f>
        <v>21200</v>
      </c>
      <c r="C12" s="6"/>
      <c r="D12" s="6"/>
      <c r="E12" s="13"/>
      <c r="F12" s="6"/>
      <c r="G12" s="6"/>
      <c r="H12" s="7">
        <f t="shared" si="2"/>
        <v>21200</v>
      </c>
      <c r="J12" s="3" t="s">
        <v>22</v>
      </c>
    </row>
    <row r="13" ht="12.75" customHeight="1">
      <c r="A13" s="6" t="s">
        <v>23</v>
      </c>
      <c r="B13" s="7"/>
      <c r="C13" s="6"/>
      <c r="D13" s="6"/>
      <c r="E13" s="14">
        <v>8000.0</v>
      </c>
      <c r="F13" s="6"/>
      <c r="G13" s="6"/>
      <c r="H13" s="7">
        <f t="shared" si="2"/>
        <v>8000</v>
      </c>
      <c r="J13" s="3" t="s">
        <v>24</v>
      </c>
    </row>
    <row r="14" ht="12.75" customHeight="1">
      <c r="A14" s="9" t="s">
        <v>25</v>
      </c>
      <c r="B14" s="10">
        <f t="shared" ref="B14:G14" si="3">sum(B10:B13)</f>
        <v>72200</v>
      </c>
      <c r="C14" s="10">
        <f t="shared" si="3"/>
        <v>0</v>
      </c>
      <c r="D14" s="10">
        <f t="shared" si="3"/>
        <v>0</v>
      </c>
      <c r="E14" s="10">
        <f t="shared" si="3"/>
        <v>8000</v>
      </c>
      <c r="F14" s="10">
        <f t="shared" si="3"/>
        <v>0</v>
      </c>
      <c r="G14" s="10">
        <f t="shared" si="3"/>
        <v>0</v>
      </c>
      <c r="H14" s="10">
        <f t="shared" si="2"/>
        <v>80200</v>
      </c>
    </row>
    <row r="15" ht="12.75" customHeight="1">
      <c r="A15" s="1" t="s">
        <v>26</v>
      </c>
      <c r="B15" s="7"/>
      <c r="C15" s="6"/>
      <c r="D15" s="6"/>
      <c r="E15" s="6"/>
      <c r="F15" s="6"/>
      <c r="G15" s="6"/>
      <c r="H15" s="6"/>
    </row>
    <row r="16" ht="12.75" customHeight="1">
      <c r="A16" s="6" t="s">
        <v>27</v>
      </c>
      <c r="B16" s="15">
        <v>44000.0</v>
      </c>
      <c r="C16" s="16"/>
      <c r="D16" s="6"/>
      <c r="E16" s="6"/>
      <c r="F16" s="6"/>
      <c r="G16" s="6"/>
      <c r="H16" s="7">
        <f t="shared" ref="H16:H18" si="4">SUM(B16:G16)</f>
        <v>44000</v>
      </c>
      <c r="J16" s="3" t="s">
        <v>28</v>
      </c>
      <c r="K16" s="3" t="s">
        <v>29</v>
      </c>
    </row>
    <row r="17" ht="12.75" customHeight="1">
      <c r="A17" s="6" t="s">
        <v>30</v>
      </c>
      <c r="B17" s="8">
        <v>65000.0</v>
      </c>
      <c r="C17" s="6"/>
      <c r="D17" s="6"/>
      <c r="E17" s="6"/>
      <c r="F17" s="6"/>
      <c r="G17" s="6"/>
      <c r="H17" s="7">
        <f t="shared" si="4"/>
        <v>65000</v>
      </c>
      <c r="J17" s="17" t="s">
        <v>31</v>
      </c>
    </row>
    <row r="18" ht="12.75" customHeight="1">
      <c r="A18" s="9" t="s">
        <v>32</v>
      </c>
      <c r="B18" s="10">
        <f t="shared" ref="B18:G18" si="5">sum(B16:B17)</f>
        <v>109000</v>
      </c>
      <c r="C18" s="10">
        <f t="shared" si="5"/>
        <v>0</v>
      </c>
      <c r="D18" s="10">
        <f t="shared" si="5"/>
        <v>0</v>
      </c>
      <c r="E18" s="10">
        <f t="shared" si="5"/>
        <v>0</v>
      </c>
      <c r="F18" s="10">
        <f t="shared" si="5"/>
        <v>0</v>
      </c>
      <c r="G18" s="10">
        <f t="shared" si="5"/>
        <v>0</v>
      </c>
      <c r="H18" s="10">
        <f t="shared" si="4"/>
        <v>109000</v>
      </c>
    </row>
    <row r="19" ht="12.75" customHeight="1">
      <c r="A19" s="5" t="s">
        <v>33</v>
      </c>
      <c r="B19" s="7"/>
      <c r="C19" s="6"/>
      <c r="D19" s="6"/>
      <c r="E19" s="6"/>
      <c r="F19" s="6"/>
      <c r="G19" s="6"/>
      <c r="H19" s="6"/>
    </row>
    <row r="20" ht="12.75" customHeight="1">
      <c r="A20" s="6" t="s">
        <v>34</v>
      </c>
      <c r="B20" s="8">
        <v>900.0</v>
      </c>
      <c r="C20" s="6"/>
      <c r="D20" s="6"/>
      <c r="E20" s="6"/>
      <c r="F20" s="6"/>
      <c r="G20" s="6"/>
      <c r="H20" s="7">
        <f t="shared" ref="H20:H27" si="6">SUM(B20:G20)</f>
        <v>900</v>
      </c>
      <c r="J20" s="3" t="s">
        <v>35</v>
      </c>
    </row>
    <row r="21" ht="12.75" customHeight="1">
      <c r="A21" s="6" t="s">
        <v>36</v>
      </c>
      <c r="B21" s="7"/>
      <c r="C21" s="18"/>
      <c r="D21" s="18">
        <v>20000.0</v>
      </c>
      <c r="E21" s="7"/>
      <c r="F21" s="7"/>
      <c r="G21" s="7"/>
      <c r="H21" s="7">
        <f t="shared" si="6"/>
        <v>20000</v>
      </c>
      <c r="J21" s="1" t="s">
        <v>37</v>
      </c>
    </row>
    <row r="22" ht="12.75" customHeight="1">
      <c r="A22" s="6" t="s">
        <v>38</v>
      </c>
      <c r="B22" s="8">
        <v>1000.0</v>
      </c>
      <c r="C22" s="7"/>
      <c r="D22" s="7"/>
      <c r="E22" s="7"/>
      <c r="F22" s="7"/>
      <c r="G22" s="7"/>
      <c r="H22" s="7">
        <f t="shared" si="6"/>
        <v>1000</v>
      </c>
      <c r="J22" s="1" t="s">
        <v>39</v>
      </c>
    </row>
    <row r="23" ht="12.75" customHeight="1">
      <c r="A23" s="6" t="s">
        <v>40</v>
      </c>
      <c r="B23" s="7"/>
      <c r="C23" s="7"/>
      <c r="D23" s="7"/>
      <c r="E23" s="18">
        <v>21500.0</v>
      </c>
      <c r="F23" s="18">
        <f>90000*0.8</f>
        <v>72000</v>
      </c>
      <c r="G23" s="15">
        <v>65000.0</v>
      </c>
      <c r="H23" s="7">
        <f t="shared" si="6"/>
        <v>158500</v>
      </c>
      <c r="J23" s="3" t="s">
        <v>41</v>
      </c>
    </row>
    <row r="24" ht="12.75" customHeight="1">
      <c r="A24" s="6" t="s">
        <v>42</v>
      </c>
      <c r="B24" s="7"/>
      <c r="C24" s="7"/>
      <c r="D24" s="7"/>
      <c r="E24" s="7"/>
      <c r="F24" s="7"/>
      <c r="G24" s="7"/>
      <c r="H24" s="7">
        <f t="shared" si="6"/>
        <v>0</v>
      </c>
      <c r="J24" s="1"/>
    </row>
    <row r="25" ht="12.75" customHeight="1">
      <c r="A25" s="6" t="s">
        <v>43</v>
      </c>
      <c r="B25" s="7">
        <v>200.0</v>
      </c>
      <c r="C25" s="7"/>
      <c r="D25" s="7"/>
      <c r="E25" s="7"/>
      <c r="F25" s="7"/>
      <c r="G25" s="7"/>
      <c r="H25" s="7">
        <f t="shared" si="6"/>
        <v>200</v>
      </c>
    </row>
    <row r="26" ht="12.75" customHeight="1">
      <c r="A26" s="9" t="s">
        <v>44</v>
      </c>
      <c r="B26" s="10">
        <f t="shared" ref="B26:G26" si="7">SUM(B19:B25)</f>
        <v>2100</v>
      </c>
      <c r="C26" s="10">
        <f t="shared" si="7"/>
        <v>0</v>
      </c>
      <c r="D26" s="10">
        <f t="shared" si="7"/>
        <v>20000</v>
      </c>
      <c r="E26" s="10">
        <f t="shared" si="7"/>
        <v>21500</v>
      </c>
      <c r="F26" s="10">
        <f t="shared" si="7"/>
        <v>72000</v>
      </c>
      <c r="G26" s="10">
        <f t="shared" si="7"/>
        <v>65000</v>
      </c>
      <c r="H26" s="10">
        <f t="shared" si="6"/>
        <v>180600</v>
      </c>
    </row>
    <row r="27" ht="12.75" customHeight="1">
      <c r="A27" s="9" t="s">
        <v>45</v>
      </c>
      <c r="B27" s="10">
        <f t="shared" ref="B27:G27" si="8">SUM(B8,B14,B18,B26)</f>
        <v>208300</v>
      </c>
      <c r="C27" s="10">
        <f t="shared" si="8"/>
        <v>0</v>
      </c>
      <c r="D27" s="10">
        <f t="shared" si="8"/>
        <v>20000</v>
      </c>
      <c r="E27" s="10">
        <f t="shared" si="8"/>
        <v>29500</v>
      </c>
      <c r="F27" s="10">
        <f t="shared" si="8"/>
        <v>72000</v>
      </c>
      <c r="G27" s="10">
        <f t="shared" si="8"/>
        <v>65000</v>
      </c>
      <c r="H27" s="10">
        <f t="shared" si="6"/>
        <v>394800</v>
      </c>
    </row>
    <row r="29" ht="12.75" customHeight="1">
      <c r="A29" s="5"/>
      <c r="B29" s="7"/>
      <c r="C29" s="7"/>
      <c r="D29" s="7"/>
      <c r="E29" s="7"/>
      <c r="F29" s="7"/>
      <c r="G29" s="7"/>
      <c r="H29" s="6"/>
    </row>
    <row r="30" ht="12.75" customHeight="1">
      <c r="A30" s="5" t="s">
        <v>46</v>
      </c>
      <c r="B30" s="7"/>
      <c r="C30" s="7"/>
      <c r="D30" s="7"/>
      <c r="E30" s="7"/>
      <c r="F30" s="7"/>
      <c r="G30" s="7"/>
      <c r="H30" s="6"/>
    </row>
    <row r="31" ht="12.75" customHeight="1">
      <c r="A31" s="6" t="s">
        <v>47</v>
      </c>
      <c r="B31" s="7">
        <v>0.0</v>
      </c>
      <c r="C31" s="7"/>
      <c r="D31" s="7"/>
      <c r="E31" s="7"/>
      <c r="F31" s="7"/>
      <c r="G31" s="7"/>
      <c r="H31" s="7">
        <f t="shared" ref="H31:H32" si="9">SUM(B31:G31)</f>
        <v>0</v>
      </c>
      <c r="J31" s="1" t="s">
        <v>48</v>
      </c>
    </row>
    <row r="32" ht="12.75" customHeight="1">
      <c r="A32" s="6" t="s">
        <v>49</v>
      </c>
      <c r="B32" s="7">
        <v>8500.0</v>
      </c>
      <c r="C32" s="7"/>
      <c r="D32" s="7"/>
      <c r="E32" s="7"/>
      <c r="F32" s="7"/>
      <c r="G32" s="7"/>
      <c r="H32" s="7">
        <f t="shared" si="9"/>
        <v>8500</v>
      </c>
      <c r="J32" s="3" t="s">
        <v>50</v>
      </c>
    </row>
    <row r="33" ht="12.75" customHeight="1">
      <c r="A33" s="9" t="s">
        <v>51</v>
      </c>
      <c r="B33" s="19">
        <f t="shared" ref="B33:H33" si="10">SUM(B31:B32)</f>
        <v>8500</v>
      </c>
      <c r="C33" s="10">
        <f t="shared" si="10"/>
        <v>0</v>
      </c>
      <c r="D33" s="10">
        <f t="shared" si="10"/>
        <v>0</v>
      </c>
      <c r="E33" s="10">
        <f t="shared" si="10"/>
        <v>0</v>
      </c>
      <c r="F33" s="10">
        <f t="shared" si="10"/>
        <v>0</v>
      </c>
      <c r="G33" s="10">
        <f t="shared" si="10"/>
        <v>0</v>
      </c>
      <c r="H33" s="10">
        <f t="shared" si="10"/>
        <v>8500</v>
      </c>
    </row>
    <row r="34" ht="12.75" customHeight="1">
      <c r="A34" s="5" t="s">
        <v>52</v>
      </c>
      <c r="B34" s="7">
        <v>1500.0</v>
      </c>
      <c r="C34" s="7"/>
      <c r="D34" s="7"/>
      <c r="E34" s="7"/>
      <c r="F34" s="7"/>
      <c r="G34" s="7"/>
      <c r="H34" s="7">
        <f t="shared" ref="H34:H47" si="11">SUM(B34:G34)</f>
        <v>1500</v>
      </c>
      <c r="J34" s="1" t="s">
        <v>53</v>
      </c>
    </row>
    <row r="35" ht="12.75" customHeight="1">
      <c r="A35" s="6" t="s">
        <v>54</v>
      </c>
      <c r="B35" s="7">
        <v>800.0</v>
      </c>
      <c r="C35" s="7"/>
      <c r="D35" s="7"/>
      <c r="E35" s="7"/>
      <c r="F35" s="7"/>
      <c r="G35" s="7"/>
      <c r="H35" s="7">
        <f t="shared" si="11"/>
        <v>800</v>
      </c>
      <c r="J35" s="3" t="s">
        <v>55</v>
      </c>
    </row>
    <row r="36" ht="12.75" customHeight="1">
      <c r="A36" s="6" t="s">
        <v>56</v>
      </c>
      <c r="B36" s="7">
        <v>500.0</v>
      </c>
      <c r="C36" s="7"/>
      <c r="D36" s="7"/>
      <c r="E36" s="7"/>
      <c r="F36" s="7"/>
      <c r="G36" s="7"/>
      <c r="H36" s="7">
        <f t="shared" si="11"/>
        <v>500</v>
      </c>
      <c r="J36" s="3" t="s">
        <v>55</v>
      </c>
    </row>
    <row r="37" ht="12.75" customHeight="1">
      <c r="A37" s="6" t="s">
        <v>57</v>
      </c>
      <c r="B37" s="8">
        <v>1600.0</v>
      </c>
      <c r="C37" s="7"/>
      <c r="D37" s="7"/>
      <c r="E37" s="7"/>
      <c r="F37" s="7"/>
      <c r="G37" s="7"/>
      <c r="H37" s="7">
        <f t="shared" si="11"/>
        <v>1600</v>
      </c>
      <c r="J37" s="3" t="s">
        <v>58</v>
      </c>
    </row>
    <row r="38" ht="12.75" customHeight="1">
      <c r="A38" s="6" t="s">
        <v>59</v>
      </c>
      <c r="B38" s="8">
        <v>2700.0</v>
      </c>
      <c r="C38" s="7"/>
      <c r="D38" s="7"/>
      <c r="E38" s="7"/>
      <c r="F38" s="7"/>
      <c r="G38" s="7"/>
      <c r="H38" s="7">
        <f t="shared" si="11"/>
        <v>2700</v>
      </c>
      <c r="J38" s="20" t="s">
        <v>60</v>
      </c>
    </row>
    <row r="39" ht="12.75" customHeight="1">
      <c r="A39" s="16" t="s">
        <v>61</v>
      </c>
      <c r="B39" s="8">
        <v>1675.0</v>
      </c>
      <c r="C39" s="7"/>
      <c r="D39" s="7"/>
      <c r="E39" s="7"/>
      <c r="F39" s="7"/>
      <c r="G39" s="7"/>
      <c r="H39" s="7">
        <f t="shared" si="11"/>
        <v>1675</v>
      </c>
      <c r="J39" s="20" t="s">
        <v>62</v>
      </c>
    </row>
    <row r="40" ht="12.75" customHeight="1">
      <c r="A40" s="16" t="s">
        <v>63</v>
      </c>
      <c r="B40" s="8">
        <v>9800.0</v>
      </c>
      <c r="C40" s="7"/>
      <c r="D40" s="7"/>
      <c r="E40" s="7"/>
      <c r="F40" s="7"/>
      <c r="G40" s="7"/>
      <c r="H40" s="7">
        <f t="shared" si="11"/>
        <v>9800</v>
      </c>
      <c r="J40" s="3"/>
    </row>
    <row r="41" ht="12.75" customHeight="1">
      <c r="A41" s="6" t="s">
        <v>64</v>
      </c>
      <c r="B41" s="21">
        <v>10000.0</v>
      </c>
      <c r="C41" s="7"/>
      <c r="D41" s="7"/>
      <c r="E41" s="7"/>
      <c r="F41" s="7"/>
      <c r="G41" s="7"/>
      <c r="H41" s="7">
        <f t="shared" si="11"/>
        <v>10000</v>
      </c>
      <c r="J41" s="22" t="s">
        <v>65</v>
      </c>
    </row>
    <row r="42" ht="12.75" customHeight="1">
      <c r="A42" s="6" t="s">
        <v>66</v>
      </c>
      <c r="B42" s="7">
        <v>0.0</v>
      </c>
      <c r="C42" s="7"/>
      <c r="D42" s="7"/>
      <c r="E42" s="7"/>
      <c r="F42" s="7"/>
      <c r="G42" s="7"/>
      <c r="H42" s="7">
        <f t="shared" si="11"/>
        <v>0</v>
      </c>
    </row>
    <row r="43" ht="12.75" customHeight="1">
      <c r="A43" s="16" t="s">
        <v>67</v>
      </c>
      <c r="B43" s="8">
        <v>38000.0</v>
      </c>
      <c r="C43" s="7"/>
      <c r="D43" s="7"/>
      <c r="E43" s="7"/>
      <c r="F43" s="7"/>
      <c r="G43" s="7"/>
      <c r="H43" s="7">
        <f t="shared" si="11"/>
        <v>38000</v>
      </c>
    </row>
    <row r="44" ht="12.75" customHeight="1">
      <c r="A44" s="16" t="s">
        <v>68</v>
      </c>
      <c r="B44" s="7"/>
      <c r="C44" s="7"/>
      <c r="D44" s="7"/>
      <c r="E44" s="8"/>
      <c r="F44" s="7">
        <v>750.0</v>
      </c>
      <c r="G44" s="7">
        <v>750.0</v>
      </c>
      <c r="H44" s="7">
        <f t="shared" si="11"/>
        <v>1500</v>
      </c>
      <c r="J44" s="3" t="s">
        <v>69</v>
      </c>
    </row>
    <row r="45" ht="12.75" customHeight="1">
      <c r="A45" s="16" t="s">
        <v>70</v>
      </c>
      <c r="B45" s="15">
        <v>1500.0</v>
      </c>
      <c r="C45" s="7"/>
      <c r="D45" s="7"/>
      <c r="E45" s="7"/>
      <c r="F45" s="7"/>
      <c r="G45" s="7"/>
      <c r="H45" s="7">
        <f t="shared" si="11"/>
        <v>1500</v>
      </c>
      <c r="J45" s="23" t="s">
        <v>55</v>
      </c>
    </row>
    <row r="46" ht="12.75" customHeight="1">
      <c r="A46" s="6" t="s">
        <v>71</v>
      </c>
      <c r="B46" s="7"/>
      <c r="C46" s="7"/>
      <c r="D46" s="7"/>
      <c r="E46" s="7"/>
      <c r="F46" s="8">
        <v>895.0</v>
      </c>
      <c r="G46" s="8">
        <v>895.0</v>
      </c>
      <c r="H46" s="7">
        <f t="shared" si="11"/>
        <v>1790</v>
      </c>
      <c r="J46" s="3" t="s">
        <v>72</v>
      </c>
    </row>
    <row r="47" ht="12.75" customHeight="1">
      <c r="A47" s="16" t="s">
        <v>73</v>
      </c>
      <c r="B47" s="8">
        <v>2000.0</v>
      </c>
      <c r="C47" s="7"/>
      <c r="D47" s="7"/>
      <c r="E47" s="7"/>
      <c r="F47" s="8"/>
      <c r="G47" s="8"/>
      <c r="H47" s="7">
        <f t="shared" si="11"/>
        <v>2000</v>
      </c>
      <c r="J47" s="3" t="s">
        <v>74</v>
      </c>
    </row>
    <row r="48" ht="12.75" customHeight="1">
      <c r="A48" s="9" t="s">
        <v>75</v>
      </c>
      <c r="B48" s="10">
        <f>SUM(B33:B47)</f>
        <v>78575</v>
      </c>
      <c r="C48" s="10">
        <f t="shared" ref="C48:G48" si="12">SUM(C33:C46)</f>
        <v>0</v>
      </c>
      <c r="D48" s="10">
        <f t="shared" si="12"/>
        <v>0</v>
      </c>
      <c r="E48" s="10">
        <f t="shared" si="12"/>
        <v>0</v>
      </c>
      <c r="F48" s="10">
        <f t="shared" si="12"/>
        <v>1645</v>
      </c>
      <c r="G48" s="10">
        <f t="shared" si="12"/>
        <v>1645</v>
      </c>
      <c r="H48" s="10">
        <f>SUM(H33:H47)</f>
        <v>81865</v>
      </c>
    </row>
    <row r="49" ht="12.75" customHeight="1">
      <c r="A49" s="24" t="s">
        <v>76</v>
      </c>
      <c r="B49" s="7"/>
      <c r="C49" s="7"/>
      <c r="D49" s="7"/>
      <c r="E49" s="7"/>
      <c r="F49" s="7"/>
      <c r="G49" s="7"/>
      <c r="H49" s="6"/>
    </row>
    <row r="50" ht="12.75" customHeight="1">
      <c r="A50" s="5" t="s">
        <v>77</v>
      </c>
      <c r="B50" s="7"/>
      <c r="C50" s="7"/>
      <c r="D50" s="7"/>
      <c r="E50" s="7"/>
      <c r="F50" s="7"/>
      <c r="G50" s="7"/>
      <c r="H50" s="6"/>
      <c r="J50" s="3"/>
    </row>
    <row r="51" ht="12.75" customHeight="1">
      <c r="A51" s="6" t="s">
        <v>78</v>
      </c>
      <c r="B51" s="8">
        <v>60000.0</v>
      </c>
      <c r="C51" s="7"/>
      <c r="D51" s="7"/>
      <c r="E51" s="7"/>
      <c r="F51" s="7"/>
      <c r="G51" s="7"/>
      <c r="H51" s="7">
        <f t="shared" ref="H51:H56" si="13">SUM(B51:G51)</f>
        <v>60000</v>
      </c>
      <c r="J51" s="3" t="s">
        <v>79</v>
      </c>
    </row>
    <row r="52" ht="12.75" customHeight="1">
      <c r="A52" s="6" t="s">
        <v>80</v>
      </c>
      <c r="B52" s="7"/>
      <c r="C52" s="7"/>
      <c r="D52" s="7"/>
      <c r="E52" s="7">
        <v>500.0</v>
      </c>
      <c r="F52" s="7">
        <v>1500.0</v>
      </c>
      <c r="G52" s="7">
        <v>1500.0</v>
      </c>
      <c r="H52" s="7">
        <f t="shared" si="13"/>
        <v>3500</v>
      </c>
      <c r="J52" s="3" t="s">
        <v>81</v>
      </c>
    </row>
    <row r="53" ht="12.75" customHeight="1">
      <c r="A53" s="6" t="s">
        <v>82</v>
      </c>
      <c r="B53" s="15">
        <v>7800.0</v>
      </c>
      <c r="C53" s="18"/>
      <c r="D53" s="7"/>
      <c r="E53" s="7"/>
      <c r="F53" s="7"/>
      <c r="G53" s="7"/>
      <c r="H53" s="7">
        <f t="shared" si="13"/>
        <v>7800</v>
      </c>
      <c r="J53" s="3" t="s">
        <v>83</v>
      </c>
    </row>
    <row r="54" ht="12.75" customHeight="1">
      <c r="A54" s="6" t="s">
        <v>84</v>
      </c>
      <c r="B54" s="7"/>
      <c r="C54" s="7"/>
      <c r="D54" s="7"/>
      <c r="E54" s="7">
        <v>175.0</v>
      </c>
      <c r="F54" s="8">
        <v>1500.0</v>
      </c>
      <c r="G54" s="8">
        <v>1300.0</v>
      </c>
      <c r="H54" s="7">
        <f t="shared" si="13"/>
        <v>2975</v>
      </c>
      <c r="J54" s="3" t="s">
        <v>85</v>
      </c>
    </row>
    <row r="55" ht="12.75" customHeight="1">
      <c r="A55" s="6" t="s">
        <v>86</v>
      </c>
      <c r="B55" s="8"/>
      <c r="C55" s="7"/>
      <c r="D55" s="7"/>
      <c r="E55" s="7">
        <v>350.0</v>
      </c>
      <c r="F55" s="18">
        <v>2000.0</v>
      </c>
      <c r="G55" s="15">
        <v>2000.0</v>
      </c>
      <c r="H55" s="7">
        <f t="shared" si="13"/>
        <v>4350</v>
      </c>
      <c r="J55" s="3" t="s">
        <v>87</v>
      </c>
    </row>
    <row r="56" ht="12.75" customHeight="1">
      <c r="A56" s="6" t="s">
        <v>88</v>
      </c>
      <c r="B56" s="7"/>
      <c r="C56" s="7"/>
      <c r="D56" s="7"/>
      <c r="E56" s="7"/>
      <c r="F56" s="7"/>
      <c r="G56" s="7"/>
      <c r="H56" s="18">
        <f t="shared" si="13"/>
        <v>0</v>
      </c>
    </row>
    <row r="57" ht="12.75" customHeight="1">
      <c r="A57" s="25" t="s">
        <v>89</v>
      </c>
      <c r="B57" s="19">
        <f t="shared" ref="B57:H57" si="14">SUM(B51:B56)</f>
        <v>67800</v>
      </c>
      <c r="C57" s="10">
        <f t="shared" si="14"/>
        <v>0</v>
      </c>
      <c r="D57" s="10">
        <f t="shared" si="14"/>
        <v>0</v>
      </c>
      <c r="E57" s="10">
        <f t="shared" si="14"/>
        <v>1025</v>
      </c>
      <c r="F57" s="10">
        <f t="shared" si="14"/>
        <v>5000</v>
      </c>
      <c r="G57" s="10">
        <f t="shared" si="14"/>
        <v>4800</v>
      </c>
      <c r="H57" s="10">
        <f t="shared" si="14"/>
        <v>78625</v>
      </c>
    </row>
    <row r="58" ht="12.75" customHeight="1">
      <c r="A58" s="6" t="s">
        <v>90</v>
      </c>
      <c r="B58" s="7"/>
      <c r="C58" s="7"/>
      <c r="D58" s="7"/>
      <c r="E58" s="7"/>
      <c r="F58" s="15">
        <v>7000.0</v>
      </c>
      <c r="G58" s="15">
        <v>5000.0</v>
      </c>
      <c r="H58" s="7">
        <f t="shared" ref="H58:H60" si="15">SUM(B58:G58)</f>
        <v>12000</v>
      </c>
      <c r="J58" s="1"/>
      <c r="K58" s="1"/>
    </row>
    <row r="59" ht="12.75" customHeight="1">
      <c r="A59" s="6" t="s">
        <v>91</v>
      </c>
      <c r="B59" s="7"/>
      <c r="C59" s="7"/>
      <c r="D59" s="7"/>
      <c r="E59" s="7"/>
      <c r="F59" s="8">
        <v>3500.0</v>
      </c>
      <c r="G59" s="8">
        <v>3500.0</v>
      </c>
      <c r="H59" s="7">
        <f t="shared" si="15"/>
        <v>7000</v>
      </c>
      <c r="J59" s="1" t="s">
        <v>92</v>
      </c>
    </row>
    <row r="60" ht="12.75" customHeight="1">
      <c r="A60" s="6" t="s">
        <v>93</v>
      </c>
      <c r="B60" s="7">
        <v>8800.0</v>
      </c>
      <c r="C60" s="7"/>
      <c r="D60" s="7">
        <v>0.0</v>
      </c>
      <c r="E60" s="7"/>
      <c r="F60" s="7"/>
      <c r="G60" s="7"/>
      <c r="H60" s="7">
        <f t="shared" si="15"/>
        <v>8800</v>
      </c>
      <c r="J60" s="1" t="s">
        <v>94</v>
      </c>
    </row>
    <row r="61" ht="12.75" customHeight="1">
      <c r="A61" s="26" t="s">
        <v>95</v>
      </c>
      <c r="B61" s="27">
        <f t="shared" ref="B61:H61" si="16">SUM(B58:B60)</f>
        <v>8800</v>
      </c>
      <c r="C61" s="27">
        <f t="shared" si="16"/>
        <v>0</v>
      </c>
      <c r="D61" s="27">
        <f t="shared" si="16"/>
        <v>0</v>
      </c>
      <c r="E61" s="27">
        <f t="shared" si="16"/>
        <v>0</v>
      </c>
      <c r="F61" s="27">
        <f t="shared" si="16"/>
        <v>10500</v>
      </c>
      <c r="G61" s="27">
        <f t="shared" si="16"/>
        <v>8500</v>
      </c>
      <c r="H61" s="27">
        <f t="shared" si="16"/>
        <v>27800</v>
      </c>
      <c r="J61" s="1"/>
    </row>
    <row r="62" ht="12.75" customHeight="1">
      <c r="A62" s="9" t="s">
        <v>96</v>
      </c>
      <c r="B62" s="10">
        <f t="shared" ref="B62:H62" si="17">sum(B61+B57)</f>
        <v>76600</v>
      </c>
      <c r="C62" s="10">
        <f t="shared" si="17"/>
        <v>0</v>
      </c>
      <c r="D62" s="10">
        <f t="shared" si="17"/>
        <v>0</v>
      </c>
      <c r="E62" s="10">
        <f t="shared" si="17"/>
        <v>1025</v>
      </c>
      <c r="F62" s="10">
        <f t="shared" si="17"/>
        <v>15500</v>
      </c>
      <c r="G62" s="10">
        <f t="shared" si="17"/>
        <v>13300</v>
      </c>
      <c r="H62" s="10">
        <f t="shared" si="17"/>
        <v>106425</v>
      </c>
    </row>
    <row r="64" ht="12.75" customHeight="1">
      <c r="A64" s="24" t="s">
        <v>97</v>
      </c>
      <c r="B64" s="7"/>
      <c r="C64" s="7"/>
      <c r="D64" s="7"/>
      <c r="E64" s="7"/>
      <c r="F64" s="7"/>
      <c r="G64" s="7"/>
      <c r="H64" s="7">
        <f t="shared" ref="H64:H70" si="18">SUM(B64:G64)</f>
        <v>0</v>
      </c>
    </row>
    <row r="65" ht="12.75" customHeight="1">
      <c r="A65" s="1" t="s">
        <v>98</v>
      </c>
      <c r="B65" s="7"/>
      <c r="C65" s="7"/>
      <c r="D65" s="7"/>
      <c r="E65" s="7"/>
      <c r="F65" s="15">
        <v>1770.0</v>
      </c>
      <c r="G65" s="18">
        <v>1500.0</v>
      </c>
      <c r="H65" s="7">
        <f t="shared" si="18"/>
        <v>3270</v>
      </c>
      <c r="J65" s="1"/>
    </row>
    <row r="66" ht="12.75" customHeight="1">
      <c r="A66" s="1" t="s">
        <v>99</v>
      </c>
      <c r="B66" s="7">
        <v>0.0</v>
      </c>
      <c r="C66" s="7"/>
      <c r="D66" s="7"/>
      <c r="E66" s="7"/>
      <c r="F66" s="7"/>
      <c r="G66" s="7"/>
      <c r="H66" s="7">
        <f t="shared" si="18"/>
        <v>0</v>
      </c>
      <c r="J66" s="1"/>
    </row>
    <row r="67" ht="12.75" customHeight="1">
      <c r="A67" s="1" t="s">
        <v>100</v>
      </c>
      <c r="B67" s="7">
        <v>4000.0</v>
      </c>
      <c r="C67" s="28"/>
      <c r="D67" s="7"/>
      <c r="E67" s="7"/>
      <c r="F67" s="8">
        <v>355.0</v>
      </c>
      <c r="G67" s="8">
        <v>355.0</v>
      </c>
      <c r="H67" s="7">
        <f t="shared" si="18"/>
        <v>4710</v>
      </c>
      <c r="J67" s="22" t="s">
        <v>101</v>
      </c>
    </row>
    <row r="68" ht="12.75" customHeight="1">
      <c r="A68" s="1" t="s">
        <v>102</v>
      </c>
      <c r="B68" s="7">
        <v>3000.0</v>
      </c>
      <c r="C68" s="28"/>
      <c r="D68" s="7"/>
      <c r="E68" s="7"/>
      <c r="F68" s="7"/>
      <c r="G68" s="7"/>
      <c r="H68" s="7">
        <f t="shared" si="18"/>
        <v>3000</v>
      </c>
      <c r="J68" s="22" t="s">
        <v>103</v>
      </c>
    </row>
    <row r="69" ht="12.75" customHeight="1">
      <c r="A69" s="1" t="s">
        <v>104</v>
      </c>
      <c r="B69" s="7">
        <v>2100.0</v>
      </c>
      <c r="C69" s="28"/>
      <c r="D69" s="7"/>
      <c r="E69" s="7"/>
      <c r="F69" s="7"/>
      <c r="G69" s="7"/>
      <c r="H69" s="7">
        <f t="shared" si="18"/>
        <v>2100</v>
      </c>
      <c r="J69" s="22" t="s">
        <v>103</v>
      </c>
    </row>
    <row r="70" ht="12.75" customHeight="1">
      <c r="A70" s="29" t="s">
        <v>105</v>
      </c>
      <c r="B70" s="30"/>
      <c r="C70" s="30"/>
      <c r="D70" s="30"/>
      <c r="E70" s="31">
        <v>400.0</v>
      </c>
      <c r="F70" s="31">
        <v>5500.0</v>
      </c>
      <c r="G70" s="31">
        <v>5500.0</v>
      </c>
      <c r="H70" s="31">
        <f t="shared" si="18"/>
        <v>11400</v>
      </c>
      <c r="I70" s="32"/>
      <c r="J70" s="33" t="s">
        <v>106</v>
      </c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2.75" customHeight="1">
      <c r="A71" s="9" t="s">
        <v>107</v>
      </c>
      <c r="B71" s="10">
        <f t="shared" ref="B71:D71" si="19">sum(B65:B69)</f>
        <v>9100</v>
      </c>
      <c r="C71" s="10">
        <f t="shared" si="19"/>
        <v>0</v>
      </c>
      <c r="D71" s="10">
        <f t="shared" si="19"/>
        <v>0</v>
      </c>
      <c r="E71" s="10">
        <f t="shared" ref="E71:H71" si="20">sum(E65:E70)</f>
        <v>400</v>
      </c>
      <c r="F71" s="10">
        <f t="shared" si="20"/>
        <v>7625</v>
      </c>
      <c r="G71" s="10">
        <f t="shared" si="20"/>
        <v>7355</v>
      </c>
      <c r="H71" s="10">
        <f t="shared" si="20"/>
        <v>24480</v>
      </c>
    </row>
    <row r="72" ht="12.75" customHeight="1">
      <c r="A72" s="5"/>
      <c r="B72" s="7"/>
      <c r="C72" s="7"/>
      <c r="D72" s="7"/>
      <c r="E72" s="7"/>
      <c r="F72" s="7"/>
      <c r="G72" s="7"/>
      <c r="H72" s="6"/>
      <c r="J72" s="34"/>
    </row>
    <row r="73" ht="12.75" customHeight="1">
      <c r="A73" s="5" t="s">
        <v>108</v>
      </c>
      <c r="B73" s="7"/>
      <c r="C73" s="7"/>
      <c r="D73" s="7"/>
      <c r="E73" s="7"/>
      <c r="F73" s="7"/>
      <c r="G73" s="7"/>
      <c r="H73" s="6"/>
      <c r="J73" s="34" t="s">
        <v>109</v>
      </c>
    </row>
    <row r="74" ht="12.75" customHeight="1">
      <c r="A74" s="1" t="s">
        <v>110</v>
      </c>
      <c r="B74" s="7"/>
      <c r="C74" s="7"/>
      <c r="D74" s="7">
        <v>1500.0</v>
      </c>
      <c r="E74" s="15">
        <v>2728.0</v>
      </c>
      <c r="F74" s="15">
        <v>6500.0</v>
      </c>
      <c r="G74" s="15">
        <v>6500.0</v>
      </c>
      <c r="H74" s="7">
        <f t="shared" ref="H74:H84" si="21">SUM(B74:G74)</f>
        <v>17228</v>
      </c>
      <c r="J74" s="3" t="s">
        <v>111</v>
      </c>
    </row>
    <row r="75" ht="12.75" customHeight="1">
      <c r="A75" s="1" t="s">
        <v>112</v>
      </c>
      <c r="B75" s="7"/>
      <c r="C75" s="7"/>
      <c r="D75" s="7"/>
      <c r="E75" s="7">
        <v>1500.0</v>
      </c>
      <c r="F75" s="8">
        <v>2886.0</v>
      </c>
      <c r="G75" s="8">
        <v>350.0</v>
      </c>
      <c r="H75" s="7">
        <f t="shared" si="21"/>
        <v>4736</v>
      </c>
      <c r="J75" s="3" t="s">
        <v>113</v>
      </c>
    </row>
    <row r="76" ht="12.75" customHeight="1">
      <c r="A76" s="1" t="s">
        <v>114</v>
      </c>
      <c r="B76" s="7"/>
      <c r="C76" s="7"/>
      <c r="D76" s="7"/>
      <c r="E76" s="18">
        <f>sum(0.03*E23)</f>
        <v>645</v>
      </c>
      <c r="F76" s="15">
        <v>2015.0</v>
      </c>
      <c r="G76" s="15">
        <v>2015.0</v>
      </c>
      <c r="H76" s="7">
        <f t="shared" si="21"/>
        <v>4675</v>
      </c>
      <c r="J76" s="35" t="s">
        <v>115</v>
      </c>
    </row>
    <row r="77" ht="12.75" customHeight="1">
      <c r="A77" s="1" t="s">
        <v>116</v>
      </c>
      <c r="B77" s="7"/>
      <c r="C77" s="7"/>
      <c r="D77" s="7"/>
      <c r="E77" s="18"/>
      <c r="F77" s="15">
        <v>6100.0</v>
      </c>
      <c r="G77" s="15">
        <v>4100.0</v>
      </c>
      <c r="H77" s="7">
        <f t="shared" si="21"/>
        <v>10200</v>
      </c>
      <c r="J77" s="3" t="s">
        <v>117</v>
      </c>
    </row>
    <row r="78" ht="12.75" customHeight="1">
      <c r="A78" s="1" t="s">
        <v>118</v>
      </c>
      <c r="B78" s="7"/>
      <c r="C78" s="7"/>
      <c r="D78" s="7"/>
      <c r="E78" s="8">
        <v>2000.0</v>
      </c>
      <c r="F78" s="7"/>
      <c r="G78" s="7"/>
      <c r="H78" s="7">
        <f t="shared" si="21"/>
        <v>2000</v>
      </c>
      <c r="J78" s="35" t="s">
        <v>55</v>
      </c>
    </row>
    <row r="79" ht="12.75" customHeight="1">
      <c r="A79" s="1" t="s">
        <v>119</v>
      </c>
      <c r="B79" s="7"/>
      <c r="C79" s="7"/>
      <c r="D79" s="7">
        <v>6000.0</v>
      </c>
      <c r="E79" s="15">
        <v>4000.0</v>
      </c>
      <c r="F79" s="8">
        <v>9500.0</v>
      </c>
      <c r="G79" s="15">
        <v>12000.0</v>
      </c>
      <c r="H79" s="7">
        <f t="shared" si="21"/>
        <v>31500</v>
      </c>
      <c r="J79" s="1" t="s">
        <v>120</v>
      </c>
    </row>
    <row r="80" ht="12.75" customHeight="1">
      <c r="A80" s="1" t="s">
        <v>121</v>
      </c>
      <c r="B80" s="7"/>
      <c r="C80" s="7"/>
      <c r="D80" s="7">
        <f>6*150</f>
        <v>900</v>
      </c>
      <c r="E80" s="7">
        <v>360.0</v>
      </c>
      <c r="F80" s="8">
        <v>7960.0</v>
      </c>
      <c r="G80" s="8">
        <v>4826.0</v>
      </c>
      <c r="H80" s="7">
        <f t="shared" si="21"/>
        <v>14046</v>
      </c>
      <c r="J80" s="3" t="s">
        <v>122</v>
      </c>
      <c r="K80" s="1"/>
    </row>
    <row r="81" ht="12.75" customHeight="1">
      <c r="A81" s="3" t="s">
        <v>123</v>
      </c>
      <c r="B81" s="7"/>
      <c r="C81" s="7"/>
      <c r="D81" s="7"/>
      <c r="E81" s="8">
        <v>1500.0</v>
      </c>
      <c r="F81" s="8">
        <v>3200.0</v>
      </c>
      <c r="G81" s="8">
        <v>3200.0</v>
      </c>
      <c r="H81" s="7">
        <f t="shared" si="21"/>
        <v>7900</v>
      </c>
      <c r="J81" s="36" t="s">
        <v>124</v>
      </c>
    </row>
    <row r="82" ht="12.75" customHeight="1">
      <c r="A82" s="1" t="s">
        <v>125</v>
      </c>
      <c r="B82" s="7"/>
      <c r="C82" s="7"/>
      <c r="D82" s="7"/>
      <c r="E82" s="15">
        <v>9000.0</v>
      </c>
      <c r="F82" s="8">
        <v>27229.0</v>
      </c>
      <c r="G82" s="8">
        <f>F82+1300</f>
        <v>28529</v>
      </c>
      <c r="H82" s="7">
        <f t="shared" si="21"/>
        <v>64758</v>
      </c>
      <c r="J82" s="3" t="s">
        <v>126</v>
      </c>
      <c r="L82" s="37" t="s">
        <v>127</v>
      </c>
    </row>
    <row r="83" ht="12.75" customHeight="1">
      <c r="A83" s="1" t="s">
        <v>128</v>
      </c>
      <c r="B83" s="7"/>
      <c r="C83" s="7"/>
      <c r="D83" s="7"/>
      <c r="E83" s="8">
        <v>1000.0</v>
      </c>
      <c r="F83" s="8">
        <v>6500.0</v>
      </c>
      <c r="G83" s="7">
        <v>4080.0</v>
      </c>
      <c r="H83" s="7">
        <f t="shared" si="21"/>
        <v>11580</v>
      </c>
      <c r="J83" s="38"/>
    </row>
    <row r="84" ht="12.75" customHeight="1">
      <c r="A84" s="1" t="s">
        <v>129</v>
      </c>
      <c r="B84" s="7"/>
      <c r="C84" s="7"/>
      <c r="D84" s="7"/>
      <c r="E84" s="7"/>
      <c r="F84" s="8">
        <v>625.0</v>
      </c>
      <c r="G84" s="8">
        <v>625.0</v>
      </c>
      <c r="H84" s="7">
        <f t="shared" si="21"/>
        <v>1250</v>
      </c>
      <c r="J84" s="38"/>
    </row>
    <row r="85" ht="12.75" customHeight="1">
      <c r="A85" s="9" t="s">
        <v>130</v>
      </c>
      <c r="B85" s="10">
        <f t="shared" ref="B85:H85" si="22">SUM(B73:B84)</f>
        <v>0</v>
      </c>
      <c r="C85" s="10">
        <f t="shared" si="22"/>
        <v>0</v>
      </c>
      <c r="D85" s="10">
        <f t="shared" si="22"/>
        <v>8400</v>
      </c>
      <c r="E85" s="10">
        <f t="shared" si="22"/>
        <v>22733</v>
      </c>
      <c r="F85" s="10">
        <f t="shared" si="22"/>
        <v>72515</v>
      </c>
      <c r="G85" s="10">
        <f t="shared" si="22"/>
        <v>66225</v>
      </c>
      <c r="H85" s="10">
        <f t="shared" si="22"/>
        <v>169873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B86" s="7"/>
      <c r="C86" s="7"/>
      <c r="D86" s="7"/>
      <c r="E86" s="7"/>
      <c r="F86" s="7"/>
      <c r="G86" s="7"/>
      <c r="H86" s="6"/>
    </row>
    <row r="87" ht="12.75" customHeight="1">
      <c r="A87" s="24" t="s">
        <v>131</v>
      </c>
      <c r="B87" s="27">
        <f>SUM(B48,B62,B71)</f>
        <v>164275</v>
      </c>
      <c r="C87" s="27">
        <f t="shared" ref="C87:G87" si="23">SUM(C33,C48,C57,C61,C41,C71,C85)</f>
        <v>0</v>
      </c>
      <c r="D87" s="27">
        <f t="shared" si="23"/>
        <v>8400</v>
      </c>
      <c r="E87" s="27">
        <f t="shared" si="23"/>
        <v>24158</v>
      </c>
      <c r="F87" s="27">
        <f t="shared" si="23"/>
        <v>97285</v>
      </c>
      <c r="G87" s="27">
        <f t="shared" si="23"/>
        <v>88525</v>
      </c>
      <c r="H87" s="27">
        <f>SUM(H48,H57,H61,H41,H71,H85)</f>
        <v>392643</v>
      </c>
    </row>
    <row r="88" ht="12.75" customHeight="1">
      <c r="A88" s="24" t="s">
        <v>132</v>
      </c>
      <c r="B88" s="7">
        <f t="shared" ref="B88:H88" si="24">B27-B87</f>
        <v>44025</v>
      </c>
      <c r="C88" s="7">
        <f t="shared" si="24"/>
        <v>0</v>
      </c>
      <c r="D88" s="7">
        <f t="shared" si="24"/>
        <v>11600</v>
      </c>
      <c r="E88" s="7">
        <f t="shared" si="24"/>
        <v>5342</v>
      </c>
      <c r="F88" s="7">
        <f t="shared" si="24"/>
        <v>-25285</v>
      </c>
      <c r="G88" s="7">
        <f t="shared" si="24"/>
        <v>-23525</v>
      </c>
      <c r="H88" s="7">
        <f t="shared" si="24"/>
        <v>2157</v>
      </c>
    </row>
    <row r="89" ht="12.75" customHeight="1">
      <c r="B89" s="7"/>
      <c r="C89" s="7"/>
      <c r="D89" s="7"/>
      <c r="E89" s="7"/>
      <c r="F89" s="7"/>
      <c r="G89" s="7"/>
      <c r="H89" s="6"/>
    </row>
    <row r="90" ht="12.75" customHeight="1">
      <c r="A90" s="24" t="s">
        <v>133</v>
      </c>
      <c r="B90" s="7"/>
      <c r="C90" s="7"/>
      <c r="D90" s="7"/>
      <c r="E90" s="7"/>
      <c r="F90" s="7"/>
      <c r="G90" s="7"/>
      <c r="H90" s="7">
        <f t="shared" ref="H90:H91" si="25">SUM(B90:G90)</f>
        <v>0</v>
      </c>
    </row>
    <row r="91" ht="12.75" customHeight="1">
      <c r="A91" s="1" t="s">
        <v>134</v>
      </c>
      <c r="B91" s="8">
        <v>3370.0</v>
      </c>
      <c r="C91" s="7"/>
      <c r="D91" s="7"/>
      <c r="E91" s="7"/>
      <c r="F91" s="7"/>
      <c r="G91" s="7"/>
      <c r="H91" s="7">
        <f t="shared" si="25"/>
        <v>3370</v>
      </c>
      <c r="J91" s="20" t="s">
        <v>135</v>
      </c>
    </row>
    <row r="92" ht="12.75" customHeight="1">
      <c r="A92" s="3" t="s">
        <v>136</v>
      </c>
      <c r="B92" s="8">
        <v>4000.0</v>
      </c>
      <c r="C92" s="7"/>
      <c r="D92" s="7"/>
      <c r="E92" s="7"/>
      <c r="F92" s="7"/>
      <c r="G92" s="7"/>
      <c r="H92" s="8">
        <v>4000.0</v>
      </c>
    </row>
    <row r="93" ht="12.75" customHeight="1">
      <c r="A93" s="24" t="s">
        <v>137</v>
      </c>
      <c r="B93" s="39">
        <f>SUM(B91:B92)</f>
        <v>7370</v>
      </c>
      <c r="C93" s="7">
        <v>0.0</v>
      </c>
      <c r="D93" s="7">
        <v>0.0</v>
      </c>
      <c r="E93" s="7">
        <v>0.0</v>
      </c>
      <c r="F93" s="7">
        <v>0.0</v>
      </c>
      <c r="G93" s="7">
        <v>0.0</v>
      </c>
      <c r="H93" s="7">
        <f>SUM(B93:G93)</f>
        <v>7370</v>
      </c>
    </row>
    <row r="94" ht="12.75" customHeight="1">
      <c r="A94" s="24"/>
      <c r="B94" s="7"/>
      <c r="C94" s="7"/>
      <c r="D94" s="7"/>
      <c r="E94" s="7"/>
      <c r="F94" s="7"/>
      <c r="G94" s="7"/>
      <c r="H94" s="6"/>
    </row>
    <row r="95" ht="12.75" customHeight="1">
      <c r="A95" s="24" t="s">
        <v>138</v>
      </c>
      <c r="B95" s="7"/>
      <c r="C95" s="7"/>
      <c r="D95" s="7"/>
      <c r="E95" s="7"/>
      <c r="F95" s="7"/>
      <c r="G95" s="7"/>
      <c r="H95" s="7">
        <f t="shared" ref="H95:H99" si="26">SUM(B95:G95)</f>
        <v>0</v>
      </c>
    </row>
    <row r="96" ht="12.75" customHeight="1">
      <c r="A96" s="38" t="s">
        <v>139</v>
      </c>
      <c r="B96" s="7">
        <v>38732.69</v>
      </c>
      <c r="C96" s="7"/>
      <c r="D96" s="7"/>
      <c r="E96" s="7"/>
      <c r="F96" s="7"/>
      <c r="G96" s="7"/>
      <c r="H96" s="7">
        <f t="shared" si="26"/>
        <v>38732.69</v>
      </c>
    </row>
    <row r="97" ht="12.75" customHeight="1">
      <c r="A97" s="1" t="s">
        <v>140</v>
      </c>
      <c r="B97" s="8">
        <v>4870.0</v>
      </c>
      <c r="C97" s="7"/>
      <c r="D97" s="7"/>
      <c r="E97" s="7"/>
      <c r="F97" s="7"/>
      <c r="G97" s="7"/>
      <c r="H97" s="7">
        <f t="shared" si="26"/>
        <v>4870</v>
      </c>
      <c r="J97" s="3" t="s">
        <v>141</v>
      </c>
    </row>
    <row r="98" ht="12.75" customHeight="1">
      <c r="A98" s="24" t="s">
        <v>142</v>
      </c>
      <c r="B98" s="27">
        <f>SUM(B96:B97)</f>
        <v>43602.69</v>
      </c>
      <c r="C98" s="7"/>
      <c r="D98" s="7"/>
      <c r="E98" s="7"/>
      <c r="F98" s="7"/>
      <c r="G98" s="7"/>
      <c r="H98" s="7">
        <f t="shared" si="26"/>
        <v>43602.69</v>
      </c>
      <c r="J98" s="40" t="s">
        <v>143</v>
      </c>
    </row>
    <row r="99" ht="12.75" customHeight="1">
      <c r="A99" s="1" t="s">
        <v>144</v>
      </c>
      <c r="B99" s="7">
        <f>SUM(B93-B98)</f>
        <v>-36232.69</v>
      </c>
      <c r="C99" s="7"/>
      <c r="D99" s="7"/>
      <c r="E99" s="7"/>
      <c r="F99" s="7"/>
      <c r="G99" s="7"/>
      <c r="H99" s="7">
        <f t="shared" si="26"/>
        <v>-36232.69</v>
      </c>
    </row>
    <row r="100" ht="12.75" customHeight="1">
      <c r="A100" s="24"/>
      <c r="B100" s="7"/>
      <c r="C100" s="7"/>
      <c r="D100" s="7"/>
      <c r="E100" s="7"/>
      <c r="F100" s="7"/>
      <c r="G100" s="7"/>
      <c r="H100" s="6"/>
    </row>
    <row r="101" ht="12.75" customHeight="1">
      <c r="A101" s="24" t="s">
        <v>145</v>
      </c>
      <c r="B101" s="7">
        <f t="shared" ref="B101:H101" si="27">(B88+B99)</f>
        <v>7792.31</v>
      </c>
      <c r="C101" s="7">
        <f t="shared" si="27"/>
        <v>0</v>
      </c>
      <c r="D101" s="7">
        <f t="shared" si="27"/>
        <v>11600</v>
      </c>
      <c r="E101" s="7">
        <f t="shared" si="27"/>
        <v>5342</v>
      </c>
      <c r="F101" s="7">
        <f t="shared" si="27"/>
        <v>-25285</v>
      </c>
      <c r="G101" s="7">
        <f t="shared" si="27"/>
        <v>-23525</v>
      </c>
      <c r="H101" s="7">
        <f t="shared" si="27"/>
        <v>-34075.69</v>
      </c>
      <c r="J101" s="6"/>
    </row>
    <row r="102" ht="12.75" customHeight="1"/>
    <row r="103" ht="12.75" customHeight="1">
      <c r="A103" s="1"/>
    </row>
    <row r="104" ht="12.75" customHeight="1"/>
    <row r="105" ht="23.25" customHeight="1">
      <c r="B105" s="41"/>
      <c r="C105" s="42"/>
      <c r="D105" s="42"/>
      <c r="E105" s="42"/>
      <c r="F105" s="42"/>
      <c r="G105" s="42"/>
      <c r="H105" s="42"/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</sheetData>
  <hyperlinks>
    <hyperlink r:id="rId1" ref="J98"/>
  </hyperlinks>
  <printOptions/>
  <pageMargins bottom="0.75" footer="0.0" header="0.0" left="0.25" right="0.25" top="0.75"/>
  <pageSetup fitToHeight="0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